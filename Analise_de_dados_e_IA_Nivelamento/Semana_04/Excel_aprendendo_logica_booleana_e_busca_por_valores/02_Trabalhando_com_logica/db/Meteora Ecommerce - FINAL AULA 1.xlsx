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4\Excel_aprendendo_logica_booleana_e_busca_por_valores\02_Trabalhando_com_logica\db\"/>
    </mc:Choice>
  </mc:AlternateContent>
  <xr:revisionPtr revIDLastSave="0" documentId="13_ncr:1_{150F4FAE-DE16-4ABD-BC80-A0BB1BDDF1EE}" xr6:coauthVersionLast="47" xr6:coauthVersionMax="47" xr10:uidLastSave="{00000000-0000-0000-0000-000000000000}"/>
  <bookViews>
    <workbookView xWindow="-28920" yWindow="-4080" windowWidth="29040" windowHeight="15720" tabRatio="698" activeTab="3" xr2:uid="{F6D97A53-F63B-4272-A181-44B26E0B790F}"/>
  </bookViews>
  <sheets>
    <sheet name="Menu" sheetId="25" r:id="rId1"/>
    <sheet name="Produtos" sheetId="17" r:id="rId2"/>
    <sheet name="Vendedores" sheetId="28" r:id="rId3"/>
    <sheet name="Consultas" sheetId="24" r:id="rId4"/>
    <sheet name="Vendas" sheetId="16" r:id="rId5"/>
    <sheet name="Cadastros Auxiliares" sheetId="23" r:id="rId6"/>
    <sheet name="Dados para Gráficos" sheetId="19" state="hidden" r:id="rId7"/>
    <sheet name="Dashboard" sheetId="18" state="hidden" r:id="rId8"/>
  </sheets>
  <definedNames>
    <definedName name="_xlnm._FilterDatabase" localSheetId="4" hidden="1">Vendas!$C$4:$E$86</definedName>
    <definedName name="Int_Nome_Produtos">#REF!</definedName>
    <definedName name="Int_Quantida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4" l="1" a="1"/>
  <c r="F7" i="24"/>
  <c r="C10" i="24"/>
  <c r="C8" i="24" a="1"/>
  <c r="C8" i="24" s="1"/>
  <c r="C7" i="24"/>
  <c r="C9" i="24"/>
  <c r="F9" i="24"/>
  <c r="C11" i="24" l="1"/>
  <c r="C12" i="24" s="1" a="1"/>
  <c r="C12" i="24" s="1"/>
  <c r="H68" i="16"/>
  <c r="H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H83" i="16" l="1"/>
  <c r="H75" i="16"/>
  <c r="H73" i="16"/>
  <c r="H65" i="16"/>
  <c r="H64" i="16"/>
  <c r="H79" i="16"/>
  <c r="H71" i="16"/>
  <c r="H80" i="16"/>
  <c r="H72" i="16"/>
  <c r="H84" i="16"/>
  <c r="H67" i="16"/>
  <c r="H82" i="16"/>
  <c r="H74" i="16"/>
  <c r="H66" i="16"/>
  <c r="H86" i="16"/>
  <c r="H78" i="16"/>
  <c r="H70" i="16"/>
  <c r="H85" i="16"/>
  <c r="H77" i="16"/>
  <c r="H69" i="16"/>
  <c r="H81" i="16"/>
  <c r="H5" i="16" l="1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B4" i="19" l="1"/>
  <c r="B2" i="19"/>
  <c r="L3" i="19"/>
  <c r="L2" i="19"/>
  <c r="B3" i="19"/>
  <c r="L4" i="19"/>
  <c r="BK4" i="18"/>
  <c r="AQ4" i="18"/>
  <c r="W4" i="18"/>
  <c r="J4" i="19" l="1"/>
  <c r="K4" i="19" s="1"/>
  <c r="J2" i="19"/>
  <c r="K2" i="19" s="1"/>
  <c r="J3" i="19"/>
  <c r="K3" i="19" s="1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  <c r="G3" i="19" l="1"/>
  <c r="G4" i="19"/>
  <c r="G5" i="19"/>
  <c r="G6" i="19"/>
  <c r="G7" i="19"/>
  <c r="G2" i="19"/>
  <c r="F3" i="19"/>
  <c r="F4" i="19"/>
  <c r="F6" i="19"/>
  <c r="F7" i="19"/>
  <c r="F2" i="19"/>
  <c r="F5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<sst xmlns="http://schemas.openxmlformats.org/spreadsheetml/2006/main" count="494" uniqueCount="169">
  <si>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</si>
  <si>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</si>
  <si>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</si>
  <si>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</si>
  <si>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</si>
  <si>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</si>
  <si>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</si>
  <si>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</si>
  <si>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</si>
  <si>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</si>
  <si>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</si>
  <si>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</si>
  <si>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</si>
  <si>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</si>
  <si>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</si>
  <si>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</si>
  <si>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</si>
  <si>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</si>
  <si>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</si>
  <si>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</si>
  <si>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</si>
  <si>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</si>
  <si>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</si>
  <si>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</si>
  <si>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</si>
  <si>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</si>
  <si>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</si>
  <si>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</si>
  <si>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</si>
  <si>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</si>
  <si>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</si>
  <si>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</si>
  <si>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</si>
  <si>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</si>
  <si>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</si>
  <si>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</si>
  <si>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</si>
  <si>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</si>
  <si>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</si>
  <si>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</si>
  <si>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</si>
  <si>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</si>
  <si>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</si>
  <si>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</si>
  <si>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</si>
  <si>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</si>
  <si>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</si>
  <si>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</si>
  <si>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</si>
  <si>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</si>
  <si>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</si>
  <si>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</si>
  <si>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</si>
  <si>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</si>
  <si>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</si>
  <si>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</si>
  <si>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</si>
  <si>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</si>
  <si>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</si>
  <si>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</si>
  <si>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</si>
  <si>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</si>
  <si>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</si>
  <si>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</si>
  <si>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</si>
  <si>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</si>
  <si>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</si>
  <si>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</si>
  <si>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</si>
  <si>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</si>
  <si>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</si>
  <si>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</si>
  <si>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</si>
  <si>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</si>
  <si>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</si>
  <si>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</si>
  <si>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</si>
  <si>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</si>
  <si>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</si>
  <si>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</si>
  <si>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</si>
  <si>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</si>
  <si>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</si>
  <si>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</si>
  <si>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</si>
  <si>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</si>
  <si>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</si>
  <si>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</si>
  <si>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</si>
  <si>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</si>
  <si>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</si>
  <si>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</si>
  <si>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</si>
  <si>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</si>
  <si>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 Restante</t>
  </si>
  <si>
    <t>% Vendas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</si>
  <si>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</si>
  <si>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</si>
  <si>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</si>
  <si>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</si>
  <si>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</si>
  <si>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</si>
  <si>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</si>
  <si>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</si>
  <si>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</si>
  <si>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</si>
  <si>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</si>
  <si>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</si>
  <si>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</si>
  <si>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</si>
  <si>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</si>
  <si>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</si>
  <si>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</si>
  <si>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</si>
  <si>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</si>
  <si>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</si>
  <si>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</si>
  <si>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</si>
  <si>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</si>
  <si>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</si>
  <si>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</si>
  <si>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</si>
  <si>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</si>
  <si>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</si>
  <si>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</si>
  <si>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</si>
  <si>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</si>
  <si>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</si>
  <si>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</si>
  <si>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</si>
  <si>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</si>
  <si>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</si>
  <si>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</si>
  <si>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Desconto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</si>
  <si>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</si>
  <si>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</si>
  <si>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</si>
  <si>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</si>
  <si>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</si>
  <si>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</si>
  <si>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</si>
  <si>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</si>
  <si>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</si>
  <si>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</si>
  <si>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</si>
  <si>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</si>
  <si>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</si>
  <si>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</si>
  <si>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</si>
  <si>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</si>
  <si>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</si>
  <si>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</si>
  <si>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</si>
  <si>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</si>
  <si>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</si>
  <si>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</si>
  <si>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</si>
  <si>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</si>
  <si>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</si>
  <si>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</si>
  <si>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</si>
  <si>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</si>
  <si>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</si>
  <si>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</si>
  <si>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</si>
  <si>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</si>
  <si>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</si>
  <si>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</si>
  <si>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>Acessorios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</si>
</sst>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2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165" fontId="0" fillId="0" borderId="3" xfId="0" applyNumberFormat="1" applyBorder="1"/>
    <xf numFmtId="165" fontId="0" fillId="0" borderId="6" xfId="0" applyNumberFormat="1" applyBorder="1"/>
    <xf numFmtId="0" fontId="11" fillId="0" borderId="18" xfId="0" applyFont="1" applyBorder="1"/>
    <xf numFmtId="0" fontId="0" fillId="0" borderId="3" xfId="0" applyBorder="1"/>
    <xf numFmtId="0" fontId="0" fillId="0" borderId="6" xfId="0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0" fillId="0" borderId="20" xfId="5" applyNumberFormat="1" applyFont="1" applyBorder="1" applyAlignment="1">
      <alignment horizontal="center" vertical="center"/>
    </xf>
    <xf numFmtId="10" fontId="0" fillId="0" borderId="21" xfId="5" applyNumberFormat="1" applyFont="1" applyBorder="1" applyAlignment="1">
      <alignment horizontal="center" vertical="center"/>
    </xf>
    <xf numFmtId="9" fontId="0" fillId="0" borderId="20" xfId="5" applyFont="1" applyBorder="1" applyAlignment="1">
      <alignment horizontal="center" vertical="center"/>
    </xf>
    <xf numFmtId="9" fontId="0" fillId="0" borderId="21" xfId="5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9" fontId="0" fillId="0" borderId="0" xfId="5" applyFont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44" fontId="0" fillId="0" borderId="0" xfId="0" applyNumberFormat="1"/>
    <xf numFmtId="0" fontId="13" fillId="0" borderId="0" xfId="0" applyFont="1" applyAlignment="1">
      <alignment horizontal="center"/>
    </xf>
    <xf numFmtId="0" fontId="15" fillId="2" borderId="22" xfId="3" applyFont="1" applyFill="1" applyBorder="1" applyAlignment="1">
      <alignment horizontal="center"/>
    </xf>
    <xf numFmtId="0" fontId="17" fillId="2" borderId="0" xfId="3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1" fontId="19" fillId="7" borderId="7" xfId="0" applyNumberFormat="1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8" fillId="3" borderId="0" xfId="0" applyFont="1" applyFill="1"/>
    <xf numFmtId="0" fontId="1" fillId="7" borderId="0" xfId="0" applyFont="1" applyFill="1" applyAlignment="1">
      <alignment horizontal="center"/>
    </xf>
    <xf numFmtId="0" fontId="20" fillId="3" borderId="0" xfId="0" applyFont="1" applyFill="1" applyAlignment="1">
      <alignment vertical="center"/>
    </xf>
    <xf numFmtId="0" fontId="22" fillId="0" borderId="0" xfId="6" applyFont="1" applyFill="1" applyAlignment="1">
      <alignment horizontal="center"/>
    </xf>
    <xf numFmtId="0" fontId="23" fillId="3" borderId="0" xfId="0" applyFont="1" applyFill="1" applyAlignment="1">
      <alignment vertical="center"/>
    </xf>
    <xf numFmtId="0" fontId="24" fillId="7" borderId="2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4" fillId="7" borderId="30" xfId="0" applyFont="1" applyFill="1" applyBorder="1" applyAlignment="1">
      <alignment horizontal="center"/>
    </xf>
    <xf numFmtId="0" fontId="24" fillId="7" borderId="27" xfId="0" applyFont="1" applyFill="1" applyBorder="1" applyAlignment="1">
      <alignment horizontal="center" vertical="center"/>
    </xf>
    <xf numFmtId="0" fontId="15" fillId="2" borderId="16" xfId="3" applyFont="1" applyFill="1" applyBorder="1" applyAlignment="1">
      <alignment horizontal="center"/>
    </xf>
    <xf numFmtId="0" fontId="15" fillId="2" borderId="17" xfId="3" applyFont="1" applyFill="1" applyBorder="1" applyAlignment="1">
      <alignment horizontal="center"/>
    </xf>
    <xf numFmtId="0" fontId="15" fillId="2" borderId="24" xfId="3" applyFont="1" applyFill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6" fillId="0" borderId="1" xfId="0" applyNumberFormat="1" applyFont="1" applyBorder="1" applyAlignment="1">
      <alignment horizontal="center"/>
    </xf>
    <xf numFmtId="0" fontId="15" fillId="2" borderId="18" xfId="3" applyFont="1" applyFill="1" applyBorder="1" applyAlignment="1">
      <alignment horizontal="center"/>
    </xf>
    <xf numFmtId="9" fontId="16" fillId="0" borderId="7" xfId="5" applyFont="1" applyBorder="1" applyAlignment="1">
      <alignment horizontal="center" vertical="center"/>
    </xf>
    <xf numFmtId="0" fontId="15" fillId="2" borderId="31" xfId="3" applyFont="1" applyFill="1" applyBorder="1" applyAlignment="1">
      <alignment horizontal="center" vertical="center" wrapText="1"/>
    </xf>
    <xf numFmtId="0" fontId="15" fillId="2" borderId="31" xfId="3" applyFont="1" applyFill="1" applyBorder="1" applyAlignment="1">
      <alignment horizontal="center" vertical="center"/>
    </xf>
    <xf numFmtId="9" fontId="16" fillId="0" borderId="31" xfId="5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1" fontId="19" fillId="7" borderId="2" xfId="0" applyNumberFormat="1" applyFont="1" applyFill="1" applyBorder="1" applyAlignment="1">
      <alignment horizontal="center"/>
    </xf>
    <xf numFmtId="1" fontId="19" fillId="7" borderId="4" xfId="0" applyNumberFormat="1" applyFont="1" applyFill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9" fontId="16" fillId="0" borderId="3" xfId="5" applyFont="1" applyBorder="1" applyAlignment="1">
      <alignment horizontal="center"/>
    </xf>
    <xf numFmtId="9" fontId="16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4" fillId="7" borderId="25" xfId="0" applyFont="1" applyFill="1" applyBorder="1" applyAlignment="1">
      <alignment horizontal="center"/>
    </xf>
    <xf numFmtId="0" fontId="17" fillId="2" borderId="28" xfId="3" applyFont="1" applyFill="1" applyBorder="1" applyAlignment="1">
      <alignment horizontal="right"/>
    </xf>
    <xf numFmtId="0" fontId="17" fillId="2" borderId="11" xfId="3" applyFont="1" applyFill="1" applyBorder="1" applyAlignment="1">
      <alignment horizontal="right"/>
    </xf>
    <xf numFmtId="0" fontId="17" fillId="2" borderId="29" xfId="3" applyFont="1" applyFill="1" applyBorder="1" applyAlignment="1">
      <alignment horizontal="right"/>
    </xf>
    <xf numFmtId="0" fontId="17" fillId="2" borderId="32" xfId="3" applyFont="1" applyFill="1" applyBorder="1" applyAlignment="1">
      <alignment horizontal="right"/>
    </xf>
    <xf numFmtId="14" fontId="24" fillId="7" borderId="25" xfId="0" applyNumberFormat="1" applyFont="1" applyFill="1" applyBorder="1" applyAlignment="1">
      <alignment horizontal="center"/>
    </xf>
    <xf numFmtId="165" fontId="24" fillId="7" borderId="26" xfId="0" applyNumberFormat="1" applyFont="1" applyFill="1" applyBorder="1" applyAlignment="1">
      <alignment horizontal="center" vertical="center"/>
    </xf>
    <xf numFmtId="0" fontId="17" fillId="2" borderId="13" xfId="3" applyFont="1" applyFill="1" applyBorder="1" applyAlignment="1">
      <alignment horizontal="right"/>
    </xf>
    <xf numFmtId="0" fontId="1" fillId="0" borderId="0" xfId="0" applyFont="1"/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26" fillId="0" borderId="0" xfId="0" applyFont="1"/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17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B2-4EAB-AC1C-F0EA07481462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B2-4EAB-AC1C-F0EA07481462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2-4EAB-AC1C-F0EA074814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6-46FA-A4A3-10DC4C20EA9E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56-46FA-A4A3-10DC4C20EA9E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56-46FA-A4A3-10DC4C20EA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2-4B4C-8E27-1A3FA2CD47F0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2-4B4C-8E27-1A3FA2CD47F0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2-4B4C-8E27-1A3FA2CD47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8</xdr:col>
      <xdr:colOff>895349</xdr:colOff>
      <xdr:row>0</xdr:row>
      <xdr:rowOff>85725</xdr:rowOff>
    </xdr:from>
    <xdr:to>
      <xdr:col>9</xdr:col>
      <xdr:colOff>445769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600075</xdr:colOff>
      <xdr:row>0</xdr:row>
      <xdr:rowOff>85725</xdr:rowOff>
    </xdr:from>
    <xdr:to>
      <xdr:col>8</xdr:col>
      <xdr:colOff>226695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661988</xdr:colOff>
      <xdr:row>0</xdr:row>
      <xdr:rowOff>85725</xdr:rowOff>
    </xdr:from>
    <xdr:to>
      <xdr:col>7</xdr:col>
      <xdr:colOff>507683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1114425</xdr:colOff>
      <xdr:row>0</xdr:row>
      <xdr:rowOff>85725</xdr:rowOff>
    </xdr:from>
    <xdr:to>
      <xdr:col>6</xdr:col>
      <xdr:colOff>569595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1</xdr:col>
      <xdr:colOff>109286</xdr:colOff>
      <xdr:row>27</xdr:row>
      <xdr:rowOff>5514</xdr:rowOff>
    </xdr:from>
    <xdr:to>
      <xdr:col>39</xdr:col>
      <xdr:colOff>114300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97753</xdr:colOff>
      <xdr:row>27</xdr:row>
      <xdr:rowOff>32121</xdr:rowOff>
    </xdr:from>
    <xdr:to>
      <xdr:col>67</xdr:col>
      <xdr:colOff>28914</xdr:colOff>
      <xdr:row>45</xdr:row>
      <xdr:rowOff>74871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26CC0C20-8D6B-9CF3-8A51-0AD2AC614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50799</xdr:colOff>
      <xdr:row>27</xdr:row>
      <xdr:rowOff>32121</xdr:rowOff>
    </xdr:from>
    <xdr:to>
      <xdr:col>79</xdr:col>
      <xdr:colOff>116349</xdr:colOff>
      <xdr:row>45</xdr:row>
      <xdr:rowOff>76081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92114342-97CA-FF22-11FA-330A7E82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11907</xdr:colOff>
      <xdr:row>27</xdr:row>
      <xdr:rowOff>32121</xdr:rowOff>
    </xdr:from>
    <xdr:to>
      <xdr:col>54</xdr:col>
      <xdr:colOff>75869</xdr:colOff>
      <xdr:row>45</xdr:row>
      <xdr:rowOff>78046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68CEE2B-7354-F6A0-6184-F367FE4A3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127000</xdr:colOff>
      <xdr:row>34</xdr:row>
      <xdr:rowOff>109537</xdr:rowOff>
    </xdr:from>
    <xdr:to>
      <xdr:col>51</xdr:col>
      <xdr:colOff>80963</xdr:colOff>
      <xdr:row>41</xdr:row>
      <xdr:rowOff>17463</xdr:rowOff>
    </xdr:to>
    <xdr:sp macro="" textlink="'Dados para Gráficos'!J2">
      <xdr:nvSpPr>
        <xdr:cNvPr id="5" name="CaixaDeTexto 4">
          <a:extLst>
            <a:ext uri="{FF2B5EF4-FFF2-40B4-BE49-F238E27FC236}">
              <a16:creationId xmlns:a16="http://schemas.microsoft.com/office/drawing/2014/main" id="{0967A517-B9CD-4742-8AE9-F76359CEF82E}"/>
            </a:ext>
          </a:extLst>
        </xdr:cNvPr>
        <xdr:cNvSpPr txBox="1"/>
      </xdr:nvSpPr>
      <xdr:spPr>
        <a:xfrm>
          <a:off x="5994400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07FCFD-094D-4EAB-98EE-9BA4A08165AC}" type="TxLink">
            <a:rPr lang="en-US" sz="2400" b="1" i="0" u="none" strike="noStrike">
              <a:solidFill>
                <a:srgbClr val="F87F46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2400" b="1" i="0" u="none" strike="noStrike">
            <a:solidFill>
              <a:srgbClr val="F87F46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57</xdr:col>
      <xdr:colOff>98425</xdr:colOff>
      <xdr:row>34</xdr:row>
      <xdr:rowOff>109537</xdr:rowOff>
    </xdr:from>
    <xdr:to>
      <xdr:col>64</xdr:col>
      <xdr:colOff>52388</xdr:colOff>
      <xdr:row>41</xdr:row>
      <xdr:rowOff>17463</xdr:rowOff>
    </xdr:to>
    <xdr:sp macro="" textlink="'Dados para Gráficos'!J3">
      <xdr:nvSpPr>
        <xdr:cNvPr id="14" name="CaixaDeTexto 13">
          <a:extLst>
            <a:ext uri="{FF2B5EF4-FFF2-40B4-BE49-F238E27FC236}">
              <a16:creationId xmlns:a16="http://schemas.microsoft.com/office/drawing/2014/main" id="{9AF33804-2FD2-483F-B356-DE7FEC43833B}"/>
            </a:ext>
          </a:extLst>
        </xdr:cNvPr>
        <xdr:cNvSpPr txBox="1"/>
      </xdr:nvSpPr>
      <xdr:spPr>
        <a:xfrm>
          <a:off x="7699375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E9ABE2-B87E-4D40-AAE0-8073C93DDA88}" type="TxLink">
            <a:rPr lang="en-US" sz="2400" b="1" i="0" u="none" strike="noStrike"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70</xdr:col>
      <xdr:colOff>31750</xdr:colOff>
      <xdr:row>34</xdr:row>
      <xdr:rowOff>100012</xdr:rowOff>
    </xdr:from>
    <xdr:to>
      <xdr:col>76</xdr:col>
      <xdr:colOff>119063</xdr:colOff>
      <xdr:row>41</xdr:row>
      <xdr:rowOff>7938</xdr:rowOff>
    </xdr:to>
    <xdr:sp macro="" textlink="'Dados para Gráficos'!J4">
      <xdr:nvSpPr>
        <xdr:cNvPr id="15" name="CaixaDeTexto 14">
          <a:extLst>
            <a:ext uri="{FF2B5EF4-FFF2-40B4-BE49-F238E27FC236}">
              <a16:creationId xmlns:a16="http://schemas.microsoft.com/office/drawing/2014/main" id="{17548AA3-9D11-4A7A-ACBE-DA32BAD37C57}"/>
            </a:ext>
          </a:extLst>
        </xdr:cNvPr>
        <xdr:cNvSpPr txBox="1"/>
      </xdr:nvSpPr>
      <xdr:spPr>
        <a:xfrm>
          <a:off x="9366250" y="4310062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33498DB-30FC-4C4C-BF4E-F0526C1F1444}" type="TxLink">
            <a:rPr lang="en-US" sz="2400" b="1" i="0" u="none" strike="noStrike"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16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15"/>
    <tableColumn id="2" xr3:uid="{E100D4E2-C3A0-43FF-A1D9-90A4BC2A9918}" name="Produtos"/>
    <tableColumn id="3" xr3:uid="{2EF7FEE0-6B6F-4534-86A0-46B6555B7BEF}" name="Tamanho" dataDxfId="14"/>
    <tableColumn id="4" xr3:uid="{4435A4B8-E7F0-4D66-A4F8-6A9FEAA36D5A}" name="Categoria"/>
    <tableColumn id="6" xr3:uid="{15F9CACC-A558-4A20-80CF-C2ADA2603221}" name="Estoque" dataDxfId="13"/>
    <tableColumn id="5" xr3:uid="{CA8AD0DE-58EC-4839-85FB-1DD75DA28087}" name="Preço Unitário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I86" totalsRowShown="0" headerRowDxfId="11" dataDxfId="10" headerRowCellStyle="Cabeçalho Meteora">
  <autoFilter ref="A4:I86" xr:uid="{AD739091-30BD-4C30-BDDA-7504C0C4B6E2}"/>
  <tableColumns count="9">
    <tableColumn id="7" xr3:uid="{5E8DE7C3-CDB6-4314-A5CC-C44D3C21973F}" name="Nº" dataDxfId="9">
      <calculatedColumnFormula>MONTH(TB_Vendas[[#This Row],[Data]])</calculatedColumnFormula>
    </tableColumn>
    <tableColumn id="10" xr3:uid="{BD1ABB49-B48B-4C50-A034-45488FDC03A8}" name="Mês" dataDxfId="8">
      <calculatedColumnFormula>PROPER(TEXT(DATE(,TB_Vendas[[#This Row],[Nº]],1),"Mmm"))</calculatedColumnFormula>
    </tableColumn>
    <tableColumn id="1" xr3:uid="{43632F1F-6978-4CE7-BB13-7CCE587D6821}" name="Data" dataDxfId="7"/>
    <tableColumn id="12" xr3:uid="{205A55AB-454E-4288-AE23-042C3C399E7A}" name="Código" dataDxfId="6"/>
    <tableColumn id="5" xr3:uid="{7DC2ADED-AF8A-4BC8-A38E-FEF676FE49C9}" name="Qtd" dataDxfId="5"/>
    <tableColumn id="9" xr3:uid="{05B7315B-2774-41BC-AFEC-4A19E452D6C7}" name="Preço Unitário" dataDxfId="4"/>
    <tableColumn id="2" xr3:uid="{4BEBDE19-FA81-4412-AC83-E0AE6998A9B4}" name="Desconto" dataDxfId="3" dataCellStyle="Porcentagem"/>
    <tableColumn id="6" xr3:uid="{9459B662-6A4F-4486-82B1-12F67B8F842E}" name="Total" dataDxfId="2">
      <calculatedColumnFormula>TB_Vendas[[#This Row],[Preço Unitário]]*TB_Vendas[[#This Row],[Qtd]]</calculatedColumnFormula>
    </tableColumn>
    <tableColumn id="8" xr3:uid="{192FEBCA-1287-48A6-9BE6-69528F71C305}" name="Vendedor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selection activeCell="J14" sqref="J14"/>
    </sheetView>
  </sheetViews>
  <sheetFormatPr defaultColWidth="0" defaultRowHeight="15" zeroHeight="1"/>
  <cols>
    <col min="1" max="5" width="8.85546875" style="40" customWidth="1"/>
    <col min="6" max="12" width="8.85546875" customWidth="1"/>
    <col min="13" max="16384" width="8.85546875" hidden="1"/>
  </cols>
  <sheetData>
    <row r="1" spans="1:12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2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</row>
    <row r="7" spans="1:12">
      <c r="F7" s="40"/>
      <c r="G7" s="40"/>
      <c r="H7" s="40"/>
      <c r="I7" s="40"/>
      <c r="J7" s="40"/>
      <c r="K7" s="40"/>
      <c r="L7" s="40"/>
    </row>
    <row r="8" spans="1:12">
      <c r="F8" s="40"/>
      <c r="G8" s="40"/>
      <c r="H8" s="40"/>
      <c r="I8" s="40"/>
      <c r="J8" s="40"/>
      <c r="K8" s="40"/>
      <c r="L8" s="40"/>
    </row>
    <row r="9" spans="1:12">
      <c r="F9" s="40"/>
      <c r="G9" s="40"/>
      <c r="H9" s="40"/>
      <c r="I9" s="40"/>
      <c r="J9" s="40"/>
      <c r="K9" s="40"/>
      <c r="L9" s="40"/>
    </row>
    <row r="10" spans="1:12">
      <c r="F10" s="40"/>
      <c r="G10" s="40"/>
      <c r="H10" s="40"/>
      <c r="I10" s="40"/>
      <c r="J10" s="40"/>
      <c r="K10" s="40"/>
      <c r="L10" s="40"/>
    </row>
    <row r="11" spans="1:12">
      <c r="F11" s="40"/>
      <c r="G11" s="40"/>
      <c r="H11" s="40"/>
      <c r="I11" s="40"/>
      <c r="J11" s="40"/>
      <c r="K11" s="40"/>
      <c r="L11" s="40"/>
    </row>
    <row r="12" spans="1:12">
      <c r="F12" s="40"/>
      <c r="G12" s="40"/>
      <c r="H12" s="40"/>
      <c r="I12" s="40"/>
      <c r="J12" s="40"/>
      <c r="K12" s="40"/>
      <c r="L12" s="40"/>
    </row>
    <row r="13" spans="1:12">
      <c r="F13" s="40"/>
      <c r="G13" s="40"/>
      <c r="H13" s="40"/>
      <c r="I13" s="40"/>
      <c r="J13" s="40"/>
      <c r="K13" s="40"/>
      <c r="L13" s="40"/>
    </row>
    <row r="14" spans="1:12">
      <c r="F14" s="40"/>
      <c r="G14" s="40"/>
      <c r="H14" s="40"/>
      <c r="I14" s="40"/>
      <c r="J14" s="40"/>
      <c r="K14" s="40"/>
      <c r="L14" s="40"/>
    </row>
    <row r="15" spans="1:12">
      <c r="F15" s="40"/>
      <c r="G15" s="40"/>
      <c r="H15" s="40"/>
      <c r="I15" s="40"/>
      <c r="J15" s="40"/>
      <c r="K15" s="40"/>
      <c r="L15" s="40"/>
    </row>
    <row r="16" spans="1:12">
      <c r="F16" s="40"/>
      <c r="G16" s="40"/>
      <c r="H16" s="40"/>
      <c r="I16" s="40"/>
      <c r="J16" s="40"/>
      <c r="K16" s="40"/>
      <c r="L16" s="40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40" zoomScaleNormal="140" workbookViewId="0">
      <selection activeCell="F16" sqref="F16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40" customFormat="1" ht="40.15" customHeight="1">
      <c r="A1" s="43"/>
      <c r="B1" s="47" t="s">
        <v>134</v>
      </c>
      <c r="C1" s="47"/>
      <c r="D1" s="47"/>
      <c r="E1" s="47"/>
      <c r="F1" s="47"/>
      <c r="G1" s="47"/>
      <c r="H1" s="45"/>
      <c r="I1" s="45"/>
    </row>
    <row r="2" spans="1:9" s="41" customFormat="1" ht="4.5" customHeight="1">
      <c r="A2" s="44"/>
      <c r="B2" s="44"/>
      <c r="C2" s="44"/>
      <c r="D2" s="44"/>
      <c r="E2" s="44"/>
      <c r="F2" s="44"/>
    </row>
    <row r="3" spans="1:9" ht="4.5" customHeight="1">
      <c r="A3" s="42"/>
      <c r="B3" s="42"/>
      <c r="C3" s="42"/>
      <c r="D3" s="42"/>
      <c r="E3" s="42"/>
      <c r="F3" s="42"/>
    </row>
    <row r="4" spans="1:9" ht="18" customHeight="1">
      <c r="A4" s="46"/>
      <c r="B4" s="46"/>
      <c r="D4" s="42"/>
      <c r="E4" s="42"/>
      <c r="F4" s="42"/>
    </row>
    <row r="5" spans="1:9" ht="4.9000000000000004" customHeight="1">
      <c r="A5" s="42"/>
      <c r="B5" s="42"/>
      <c r="C5" s="42"/>
      <c r="D5" s="42"/>
      <c r="E5" s="42"/>
      <c r="F5" s="42"/>
    </row>
    <row r="6" spans="1:9" s="1" customFormat="1" ht="18.75">
      <c r="B6" s="34" t="s">
        <v>30</v>
      </c>
      <c r="C6" s="34" t="s">
        <v>0</v>
      </c>
      <c r="D6" s="34" t="s">
        <v>1</v>
      </c>
      <c r="E6" s="34" t="s">
        <v>10</v>
      </c>
      <c r="F6" s="34" t="s">
        <v>77</v>
      </c>
      <c r="G6" s="34" t="s">
        <v>11</v>
      </c>
      <c r="H6" s="34"/>
    </row>
    <row r="7" spans="1:9">
      <c r="B7" s="1" t="s">
        <v>32</v>
      </c>
      <c r="C7" t="s">
        <v>5</v>
      </c>
      <c r="D7" s="1" t="s">
        <v>2</v>
      </c>
      <c r="E7" t="s">
        <v>12</v>
      </c>
      <c r="F7" s="1">
        <v>48</v>
      </c>
      <c r="G7" s="8">
        <v>65.900000000000006</v>
      </c>
    </row>
    <row r="8" spans="1:9">
      <c r="B8" s="1" t="s">
        <v>33</v>
      </c>
      <c r="C8" t="s">
        <v>5</v>
      </c>
      <c r="D8" s="1" t="s">
        <v>3</v>
      </c>
      <c r="E8" t="s">
        <v>12</v>
      </c>
      <c r="F8" s="1">
        <v>17</v>
      </c>
      <c r="G8" s="8">
        <v>69.900000000000006</v>
      </c>
    </row>
    <row r="9" spans="1:9">
      <c r="B9" s="1" t="s">
        <v>34</v>
      </c>
      <c r="C9" t="s">
        <v>5</v>
      </c>
      <c r="D9" s="1" t="s">
        <v>4</v>
      </c>
      <c r="E9" t="s">
        <v>12</v>
      </c>
      <c r="F9" s="1">
        <v>37</v>
      </c>
      <c r="G9" s="8">
        <v>70.900000000000006</v>
      </c>
    </row>
    <row r="10" spans="1:9">
      <c r="B10" s="1" t="s">
        <v>35</v>
      </c>
      <c r="C10" t="s">
        <v>29</v>
      </c>
      <c r="D10" s="1" t="s">
        <v>8</v>
      </c>
      <c r="E10" t="s">
        <v>13</v>
      </c>
      <c r="F10" s="1">
        <v>36</v>
      </c>
      <c r="G10" s="8">
        <v>145</v>
      </c>
    </row>
    <row r="11" spans="1:9">
      <c r="B11" s="1" t="s">
        <v>36</v>
      </c>
      <c r="C11" t="s">
        <v>28</v>
      </c>
      <c r="D11" s="1" t="s">
        <v>8</v>
      </c>
      <c r="E11" t="s">
        <v>13</v>
      </c>
      <c r="F11" s="1">
        <v>21</v>
      </c>
      <c r="G11" s="8">
        <v>259.89999999999998</v>
      </c>
    </row>
    <row r="12" spans="1:9">
      <c r="B12" s="1" t="s">
        <v>37</v>
      </c>
      <c r="C12" t="s">
        <v>6</v>
      </c>
      <c r="D12" s="1" t="s">
        <v>8</v>
      </c>
      <c r="E12" t="s">
        <v>13</v>
      </c>
      <c r="F12" s="1">
        <v>23</v>
      </c>
      <c r="G12" s="8">
        <v>39.9</v>
      </c>
    </row>
    <row r="13" spans="1:9">
      <c r="B13" s="1" t="s">
        <v>38</v>
      </c>
      <c r="C13" t="s">
        <v>23</v>
      </c>
      <c r="D13" s="1" t="s">
        <v>2</v>
      </c>
      <c r="E13" t="s">
        <v>12</v>
      </c>
      <c r="F13" s="1">
        <v>24</v>
      </c>
      <c r="G13" s="8">
        <v>85.9</v>
      </c>
    </row>
    <row r="14" spans="1:9">
      <c r="B14" s="1" t="s">
        <v>39</v>
      </c>
      <c r="C14" t="s">
        <v>23</v>
      </c>
      <c r="D14" s="1" t="s">
        <v>3</v>
      </c>
      <c r="E14" t="s">
        <v>12</v>
      </c>
      <c r="F14" s="1">
        <v>35</v>
      </c>
      <c r="G14" s="8">
        <v>89.9</v>
      </c>
    </row>
    <row r="15" spans="1:9">
      <c r="B15" s="1" t="s">
        <v>40</v>
      </c>
      <c r="C15" t="s">
        <v>23</v>
      </c>
      <c r="D15" s="1" t="s">
        <v>4</v>
      </c>
      <c r="E15" t="s">
        <v>12</v>
      </c>
      <c r="F15" s="1">
        <v>47</v>
      </c>
      <c r="G15" s="8">
        <v>92.9</v>
      </c>
    </row>
    <row r="16" spans="1:9">
      <c r="B16" s="1" t="s">
        <v>41</v>
      </c>
      <c r="C16" t="s">
        <v>26</v>
      </c>
      <c r="D16" s="1" t="s">
        <v>2</v>
      </c>
      <c r="E16" t="s">
        <v>12</v>
      </c>
      <c r="F16" s="1">
        <v>42</v>
      </c>
      <c r="G16" s="8">
        <v>44.9</v>
      </c>
    </row>
    <row r="17" spans="2:7">
      <c r="B17" s="1" t="s">
        <v>42</v>
      </c>
      <c r="C17" t="s">
        <v>26</v>
      </c>
      <c r="D17" s="1" t="s">
        <v>3</v>
      </c>
      <c r="E17" t="s">
        <v>12</v>
      </c>
      <c r="F17" s="1">
        <v>32</v>
      </c>
      <c r="G17" s="8">
        <v>46.9</v>
      </c>
    </row>
    <row r="18" spans="2:7">
      <c r="B18" s="1" t="s">
        <v>43</v>
      </c>
      <c r="C18" t="s">
        <v>26</v>
      </c>
      <c r="D18" s="1" t="s">
        <v>4</v>
      </c>
      <c r="E18" t="s">
        <v>12</v>
      </c>
      <c r="F18" s="1">
        <v>45</v>
      </c>
      <c r="G18" s="8">
        <v>48.9</v>
      </c>
    </row>
    <row r="19" spans="2:7">
      <c r="B19" s="1" t="s">
        <v>44</v>
      </c>
      <c r="C19" t="s">
        <v>18</v>
      </c>
      <c r="D19" s="1" t="s">
        <v>2</v>
      </c>
      <c r="E19" t="s">
        <v>12</v>
      </c>
      <c r="F19" s="1">
        <v>19</v>
      </c>
      <c r="G19" s="8">
        <v>39.9</v>
      </c>
    </row>
    <row r="20" spans="2:7">
      <c r="B20" s="1" t="s">
        <v>45</v>
      </c>
      <c r="C20" t="s">
        <v>18</v>
      </c>
      <c r="D20" s="1" t="s">
        <v>3</v>
      </c>
      <c r="E20" t="s">
        <v>12</v>
      </c>
      <c r="F20" s="1">
        <v>37</v>
      </c>
      <c r="G20" s="8">
        <v>39.9</v>
      </c>
    </row>
    <row r="21" spans="2:7">
      <c r="B21" s="1" t="s">
        <v>46</v>
      </c>
      <c r="C21" t="s">
        <v>18</v>
      </c>
      <c r="D21" s="1" t="s">
        <v>4</v>
      </c>
      <c r="E21" t="s">
        <v>12</v>
      </c>
      <c r="F21" s="1">
        <v>16</v>
      </c>
      <c r="G21" s="8">
        <v>42.5</v>
      </c>
    </row>
    <row r="22" spans="2:7">
      <c r="B22" s="1" t="s">
        <v>47</v>
      </c>
      <c r="C22" t="s">
        <v>9</v>
      </c>
      <c r="D22" s="1" t="s">
        <v>2</v>
      </c>
      <c r="E22" t="s">
        <v>12</v>
      </c>
      <c r="F22" s="1">
        <v>43</v>
      </c>
      <c r="G22" s="8">
        <v>25.9</v>
      </c>
    </row>
    <row r="23" spans="2:7">
      <c r="B23" s="1" t="s">
        <v>48</v>
      </c>
      <c r="C23" t="s">
        <v>17</v>
      </c>
      <c r="D23" s="1" t="s">
        <v>3</v>
      </c>
      <c r="E23" t="s">
        <v>12</v>
      </c>
      <c r="F23" s="1">
        <v>46</v>
      </c>
      <c r="G23" s="8">
        <v>29.9</v>
      </c>
    </row>
    <row r="24" spans="2:7">
      <c r="B24" s="1" t="s">
        <v>49</v>
      </c>
      <c r="C24" t="s">
        <v>17</v>
      </c>
      <c r="D24" s="1" t="s">
        <v>4</v>
      </c>
      <c r="E24" t="s">
        <v>12</v>
      </c>
      <c r="F24" s="1">
        <v>0</v>
      </c>
      <c r="G24" s="8">
        <v>32.9</v>
      </c>
    </row>
    <row r="25" spans="2:7">
      <c r="B25" s="1" t="s">
        <v>50</v>
      </c>
      <c r="C25" t="s">
        <v>7</v>
      </c>
      <c r="D25" s="1" t="s">
        <v>8</v>
      </c>
      <c r="E25" t="s">
        <v>13</v>
      </c>
      <c r="F25" s="1">
        <v>2</v>
      </c>
      <c r="G25" s="8">
        <v>49.9</v>
      </c>
    </row>
    <row r="26" spans="2:7">
      <c r="B26" s="1" t="s">
        <v>51</v>
      </c>
      <c r="C26" t="s">
        <v>22</v>
      </c>
      <c r="D26" s="1" t="s">
        <v>2</v>
      </c>
      <c r="E26" t="s">
        <v>12</v>
      </c>
      <c r="F26" s="1">
        <v>34</v>
      </c>
      <c r="G26" s="8">
        <v>299.89999999999998</v>
      </c>
    </row>
    <row r="27" spans="2:7">
      <c r="B27" s="1" t="s">
        <v>52</v>
      </c>
      <c r="C27" t="s">
        <v>22</v>
      </c>
      <c r="D27" s="1" t="s">
        <v>3</v>
      </c>
      <c r="E27" t="s">
        <v>12</v>
      </c>
      <c r="F27" s="1">
        <v>34</v>
      </c>
      <c r="G27" s="8">
        <v>302.89999999999998</v>
      </c>
    </row>
    <row r="28" spans="2:7">
      <c r="B28" s="1" t="s">
        <v>53</v>
      </c>
      <c r="C28" t="s">
        <v>22</v>
      </c>
      <c r="D28" s="1" t="s">
        <v>4</v>
      </c>
      <c r="E28" t="s">
        <v>12</v>
      </c>
      <c r="F28" s="1">
        <v>35</v>
      </c>
      <c r="G28" s="8">
        <v>300</v>
      </c>
    </row>
    <row r="29" spans="2:7">
      <c r="B29" s="1" t="s">
        <v>54</v>
      </c>
      <c r="C29" t="s">
        <v>21</v>
      </c>
      <c r="D29" s="1" t="s">
        <v>2</v>
      </c>
      <c r="E29" t="s">
        <v>12</v>
      </c>
      <c r="F29" s="1">
        <v>49</v>
      </c>
      <c r="G29" s="8">
        <v>249.9</v>
      </c>
    </row>
    <row r="30" spans="2:7">
      <c r="B30" s="1" t="s">
        <v>55</v>
      </c>
      <c r="C30" t="s">
        <v>21</v>
      </c>
      <c r="D30" s="1" t="s">
        <v>3</v>
      </c>
      <c r="E30" t="s">
        <v>12</v>
      </c>
      <c r="F30" s="1">
        <v>16</v>
      </c>
      <c r="G30" s="8">
        <v>259.89999999999998</v>
      </c>
    </row>
    <row r="31" spans="2:7">
      <c r="B31" s="1" t="s">
        <v>56</v>
      </c>
      <c r="C31" t="s">
        <v>21</v>
      </c>
      <c r="D31" s="1" t="s">
        <v>4</v>
      </c>
      <c r="E31" t="s">
        <v>12</v>
      </c>
      <c r="F31" s="1">
        <v>41</v>
      </c>
      <c r="G31" s="8">
        <v>299.89999999999998</v>
      </c>
    </row>
    <row r="32" spans="2:7">
      <c r="B32" s="1" t="s">
        <v>57</v>
      </c>
      <c r="C32" t="s">
        <v>20</v>
      </c>
      <c r="D32" s="1" t="s">
        <v>8</v>
      </c>
      <c r="E32" t="s">
        <v>13</v>
      </c>
      <c r="F32" s="1">
        <v>32</v>
      </c>
      <c r="G32" s="8">
        <v>349.9</v>
      </c>
    </row>
    <row r="33" spans="2:7">
      <c r="B33" s="1" t="s">
        <v>58</v>
      </c>
      <c r="C33" t="s">
        <v>19</v>
      </c>
      <c r="D33" s="1" t="s">
        <v>8</v>
      </c>
      <c r="E33" t="s">
        <v>13</v>
      </c>
      <c r="F33" s="1">
        <v>45</v>
      </c>
      <c r="G33" s="8">
        <v>120</v>
      </c>
    </row>
    <row r="34" spans="2:7">
      <c r="B34" s="1" t="s">
        <v>59</v>
      </c>
      <c r="C34" t="s">
        <v>27</v>
      </c>
      <c r="D34" s="1">
        <v>36</v>
      </c>
      <c r="E34" t="s">
        <v>14</v>
      </c>
      <c r="F34" s="1">
        <v>37</v>
      </c>
      <c r="G34" s="8">
        <v>249.9</v>
      </c>
    </row>
    <row r="35" spans="2:7">
      <c r="B35" s="1" t="s">
        <v>60</v>
      </c>
      <c r="C35" t="s">
        <v>27</v>
      </c>
      <c r="D35" s="1">
        <v>37</v>
      </c>
      <c r="E35" t="s">
        <v>14</v>
      </c>
      <c r="F35" s="1">
        <v>41</v>
      </c>
      <c r="G35" s="8">
        <v>255</v>
      </c>
    </row>
    <row r="36" spans="2:7">
      <c r="B36" s="1" t="s">
        <v>61</v>
      </c>
      <c r="C36" t="s">
        <v>27</v>
      </c>
      <c r="D36" s="1">
        <v>38</v>
      </c>
      <c r="E36" t="s">
        <v>14</v>
      </c>
      <c r="F36" s="1">
        <v>30</v>
      </c>
      <c r="G36" s="8">
        <v>259.89999999999998</v>
      </c>
    </row>
    <row r="37" spans="2:7">
      <c r="B37" s="1" t="s">
        <v>62</v>
      </c>
      <c r="C37" t="s">
        <v>124</v>
      </c>
      <c r="D37" s="1">
        <v>36</v>
      </c>
      <c r="E37" t="s">
        <v>14</v>
      </c>
      <c r="F37" s="1">
        <v>27</v>
      </c>
      <c r="G37" s="8">
        <v>245</v>
      </c>
    </row>
    <row r="38" spans="2:7">
      <c r="B38" s="1" t="s">
        <v>63</v>
      </c>
      <c r="C38" t="s">
        <v>124</v>
      </c>
      <c r="D38" s="1">
        <v>37</v>
      </c>
      <c r="E38" t="s">
        <v>14</v>
      </c>
      <c r="F38" s="1">
        <v>41</v>
      </c>
      <c r="G38" s="8">
        <v>250</v>
      </c>
    </row>
    <row r="39" spans="2:7">
      <c r="B39" s="1" t="s">
        <v>64</v>
      </c>
      <c r="C39" t="s">
        <v>124</v>
      </c>
      <c r="D39" s="1">
        <v>38</v>
      </c>
      <c r="E39" t="s">
        <v>14</v>
      </c>
      <c r="F39" s="1">
        <v>43</v>
      </c>
      <c r="G39" s="8">
        <v>259.89999999999998</v>
      </c>
    </row>
    <row r="40" spans="2:7">
      <c r="B40" s="1" t="s">
        <v>65</v>
      </c>
      <c r="C40" t="s">
        <v>25</v>
      </c>
      <c r="D40" s="1" t="s">
        <v>2</v>
      </c>
      <c r="E40" t="s">
        <v>12</v>
      </c>
      <c r="F40" s="1">
        <v>43</v>
      </c>
      <c r="G40" s="8">
        <v>89.9</v>
      </c>
    </row>
    <row r="41" spans="2:7">
      <c r="B41" s="1" t="s">
        <v>66</v>
      </c>
      <c r="C41" t="s">
        <v>25</v>
      </c>
      <c r="D41" s="1" t="s">
        <v>3</v>
      </c>
      <c r="E41" t="s">
        <v>12</v>
      </c>
      <c r="F41" s="1">
        <v>18</v>
      </c>
      <c r="G41" s="8">
        <v>91.4</v>
      </c>
    </row>
    <row r="42" spans="2:7">
      <c r="B42" s="1" t="s">
        <v>67</v>
      </c>
      <c r="C42" t="s">
        <v>25</v>
      </c>
      <c r="D42" s="1" t="s">
        <v>4</v>
      </c>
      <c r="E42" t="s">
        <v>12</v>
      </c>
      <c r="F42" s="1">
        <v>45</v>
      </c>
      <c r="G42" s="8">
        <v>93.5</v>
      </c>
    </row>
    <row r="43" spans="2:7">
      <c r="B43" s="1" t="s">
        <v>68</v>
      </c>
      <c r="C43" t="s">
        <v>24</v>
      </c>
      <c r="D43" s="1" t="s">
        <v>2</v>
      </c>
      <c r="E43" t="s">
        <v>12</v>
      </c>
      <c r="F43" s="1">
        <v>34</v>
      </c>
      <c r="G43" s="8">
        <v>140</v>
      </c>
    </row>
    <row r="44" spans="2:7">
      <c r="B44" s="1" t="s">
        <v>69</v>
      </c>
      <c r="C44" t="s">
        <v>24</v>
      </c>
      <c r="D44" s="1" t="s">
        <v>3</v>
      </c>
      <c r="E44" t="s">
        <v>12</v>
      </c>
      <c r="F44" s="1">
        <v>47</v>
      </c>
      <c r="G44" s="8">
        <v>142.9</v>
      </c>
    </row>
    <row r="45" spans="2:7">
      <c r="B45" s="1" t="s">
        <v>70</v>
      </c>
      <c r="C45" t="s">
        <v>24</v>
      </c>
      <c r="D45" s="1" t="s">
        <v>4</v>
      </c>
      <c r="E45" t="s">
        <v>12</v>
      </c>
      <c r="F45" s="1">
        <v>50</v>
      </c>
      <c r="G45" s="8">
        <v>146</v>
      </c>
    </row>
    <row r="46" spans="2:7">
      <c r="B46" s="1" t="s">
        <v>96</v>
      </c>
      <c r="C46" t="s">
        <v>120</v>
      </c>
      <c r="D46" s="1" t="s">
        <v>2</v>
      </c>
      <c r="E46" t="s">
        <v>12</v>
      </c>
      <c r="F46" s="1">
        <v>16</v>
      </c>
      <c r="G46" s="33">
        <v>70</v>
      </c>
    </row>
    <row r="47" spans="2:7">
      <c r="B47" s="1" t="s">
        <v>97</v>
      </c>
      <c r="C47" t="s">
        <v>120</v>
      </c>
      <c r="D47" s="1" t="s">
        <v>3</v>
      </c>
      <c r="E47" t="s">
        <v>12</v>
      </c>
      <c r="F47" s="1">
        <v>21</v>
      </c>
      <c r="G47" s="33">
        <v>54.9</v>
      </c>
    </row>
    <row r="48" spans="2:7">
      <c r="B48" s="1" t="s">
        <v>98</v>
      </c>
      <c r="C48" t="s">
        <v>120</v>
      </c>
      <c r="D48" s="1" t="s">
        <v>4</v>
      </c>
      <c r="E48" t="s">
        <v>12</v>
      </c>
      <c r="F48" s="1">
        <v>43</v>
      </c>
      <c r="G48" s="33">
        <v>54.9</v>
      </c>
    </row>
    <row r="49" spans="2:7">
      <c r="B49" s="1" t="s">
        <v>99</v>
      </c>
      <c r="C49" t="s">
        <v>100</v>
      </c>
      <c r="D49" s="1" t="s">
        <v>2</v>
      </c>
      <c r="E49" t="s">
        <v>12</v>
      </c>
      <c r="F49" s="1">
        <v>43</v>
      </c>
      <c r="G49" s="33">
        <v>72.5</v>
      </c>
    </row>
    <row r="50" spans="2:7">
      <c r="B50" s="1" t="s">
        <v>101</v>
      </c>
      <c r="C50" t="s">
        <v>100</v>
      </c>
      <c r="D50" s="1" t="s">
        <v>3</v>
      </c>
      <c r="E50" t="s">
        <v>12</v>
      </c>
      <c r="F50" s="1">
        <v>41</v>
      </c>
      <c r="G50" s="33">
        <v>72.5</v>
      </c>
    </row>
    <row r="51" spans="2:7">
      <c r="B51" s="1" t="s">
        <v>102</v>
      </c>
      <c r="C51" t="s">
        <v>100</v>
      </c>
      <c r="D51" s="1" t="s">
        <v>4</v>
      </c>
      <c r="E51" t="s">
        <v>12</v>
      </c>
      <c r="F51" s="1">
        <v>49</v>
      </c>
      <c r="G51" s="33">
        <v>72.5</v>
      </c>
    </row>
    <row r="52" spans="2:7">
      <c r="B52" s="1" t="s">
        <v>103</v>
      </c>
      <c r="C52" t="s">
        <v>104</v>
      </c>
      <c r="D52" s="1" t="s">
        <v>2</v>
      </c>
      <c r="E52" t="s">
        <v>12</v>
      </c>
      <c r="F52" s="1">
        <v>15</v>
      </c>
      <c r="G52" s="33">
        <v>289.89999999999998</v>
      </c>
    </row>
    <row r="53" spans="2:7">
      <c r="B53" s="1" t="s">
        <v>105</v>
      </c>
      <c r="C53" t="s">
        <v>104</v>
      </c>
      <c r="D53" s="1" t="s">
        <v>3</v>
      </c>
      <c r="E53" t="s">
        <v>12</v>
      </c>
      <c r="F53" s="1">
        <v>10</v>
      </c>
      <c r="G53" s="33">
        <v>289.89999999999998</v>
      </c>
    </row>
    <row r="54" spans="2:7">
      <c r="B54" s="1" t="s">
        <v>106</v>
      </c>
      <c r="C54" t="s">
        <v>104</v>
      </c>
      <c r="D54" s="1" t="s">
        <v>4</v>
      </c>
      <c r="E54" t="s">
        <v>12</v>
      </c>
      <c r="F54" s="1">
        <v>21</v>
      </c>
      <c r="G54" s="33">
        <v>289.89999999999998</v>
      </c>
    </row>
    <row r="55" spans="2:7">
      <c r="B55" s="1" t="s">
        <v>107</v>
      </c>
      <c r="C55" t="s">
        <v>108</v>
      </c>
      <c r="D55" s="1" t="s">
        <v>2</v>
      </c>
      <c r="E55" t="s">
        <v>12</v>
      </c>
      <c r="F55" s="1">
        <v>9</v>
      </c>
      <c r="G55" s="33">
        <v>32.9</v>
      </c>
    </row>
    <row r="56" spans="2:7">
      <c r="B56" s="1" t="s">
        <v>109</v>
      </c>
      <c r="C56" t="s">
        <v>108</v>
      </c>
      <c r="D56" s="1" t="s">
        <v>3</v>
      </c>
      <c r="E56" t="s">
        <v>12</v>
      </c>
      <c r="F56" s="1">
        <v>42</v>
      </c>
      <c r="G56" s="33">
        <v>32.9</v>
      </c>
    </row>
    <row r="57" spans="2:7">
      <c r="B57" s="1" t="s">
        <v>110</v>
      </c>
      <c r="C57" t="s">
        <v>108</v>
      </c>
      <c r="D57" s="1" t="s">
        <v>4</v>
      </c>
      <c r="E57" t="s">
        <v>12</v>
      </c>
      <c r="F57" s="1">
        <v>48</v>
      </c>
      <c r="G57" s="33">
        <v>32.9</v>
      </c>
    </row>
    <row r="58" spans="2:7">
      <c r="B58" s="1" t="s">
        <v>111</v>
      </c>
      <c r="C58" t="s">
        <v>112</v>
      </c>
      <c r="D58" s="1" t="s">
        <v>2</v>
      </c>
      <c r="E58" t="s">
        <v>12</v>
      </c>
      <c r="F58" s="1">
        <v>35</v>
      </c>
      <c r="G58" s="33">
        <v>49.9</v>
      </c>
    </row>
    <row r="59" spans="2:7">
      <c r="B59" s="1" t="s">
        <v>113</v>
      </c>
      <c r="C59" t="s">
        <v>112</v>
      </c>
      <c r="D59" s="1" t="s">
        <v>3</v>
      </c>
      <c r="E59" t="s">
        <v>12</v>
      </c>
      <c r="F59" s="1">
        <v>40</v>
      </c>
      <c r="G59" s="33">
        <v>49.9</v>
      </c>
    </row>
    <row r="60" spans="2:7">
      <c r="B60" s="1" t="s">
        <v>114</v>
      </c>
      <c r="C60" t="s">
        <v>112</v>
      </c>
      <c r="D60" s="1" t="s">
        <v>4</v>
      </c>
      <c r="E60" t="s">
        <v>12</v>
      </c>
      <c r="F60" s="1">
        <v>18</v>
      </c>
      <c r="G60" s="33">
        <v>49.9</v>
      </c>
    </row>
    <row r="61" spans="2:7">
      <c r="B61" s="1" t="s">
        <v>115</v>
      </c>
      <c r="C61" t="s">
        <v>117</v>
      </c>
      <c r="D61" s="1">
        <v>35</v>
      </c>
      <c r="E61" t="s">
        <v>14</v>
      </c>
      <c r="F61" s="1">
        <v>48</v>
      </c>
      <c r="G61" s="33">
        <v>89.9</v>
      </c>
    </row>
    <row r="62" spans="2:7">
      <c r="B62" s="1" t="s">
        <v>116</v>
      </c>
      <c r="C62" t="s">
        <v>117</v>
      </c>
      <c r="D62" s="1">
        <v>36</v>
      </c>
      <c r="E62" t="s">
        <v>14</v>
      </c>
      <c r="F62" s="1">
        <v>38</v>
      </c>
      <c r="G62" s="8">
        <v>89.9</v>
      </c>
    </row>
    <row r="63" spans="2:7">
      <c r="B63" s="1" t="s">
        <v>118</v>
      </c>
      <c r="C63" t="s">
        <v>117</v>
      </c>
      <c r="D63" s="1">
        <v>37</v>
      </c>
      <c r="E63" t="s">
        <v>14</v>
      </c>
      <c r="F63" s="1">
        <v>45</v>
      </c>
      <c r="G63" s="8">
        <v>89.9</v>
      </c>
    </row>
    <row r="64" spans="2:7">
      <c r="B64" s="1" t="s">
        <v>119</v>
      </c>
      <c r="C64" t="s">
        <v>121</v>
      </c>
      <c r="D64" s="1" t="s">
        <v>2</v>
      </c>
      <c r="E64" t="s">
        <v>12</v>
      </c>
      <c r="F64" s="1">
        <v>40</v>
      </c>
      <c r="G64" s="8">
        <v>180</v>
      </c>
    </row>
    <row r="65" spans="2:7">
      <c r="B65" s="1" t="s">
        <v>122</v>
      </c>
      <c r="C65" t="s">
        <v>121</v>
      </c>
      <c r="D65" s="1" t="s">
        <v>3</v>
      </c>
      <c r="E65" t="s">
        <v>12</v>
      </c>
      <c r="F65" s="1">
        <v>35</v>
      </c>
      <c r="G65" s="8">
        <v>180</v>
      </c>
    </row>
    <row r="66" spans="2:7">
      <c r="B66" s="1" t="s">
        <v>123</v>
      </c>
      <c r="C66" t="s">
        <v>121</v>
      </c>
      <c r="D66" s="1" t="s">
        <v>4</v>
      </c>
      <c r="E66" t="s">
        <v>12</v>
      </c>
      <c r="F66" s="1">
        <v>35</v>
      </c>
      <c r="G66" s="8">
        <v>180</v>
      </c>
    </row>
  </sheetData>
  <phoneticPr fontId="1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/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40" customFormat="1" ht="40.15" customHeight="1">
      <c r="A1" s="43"/>
      <c r="B1" s="81" t="s">
        <v>134</v>
      </c>
      <c r="C1" s="81"/>
      <c r="D1" s="45"/>
      <c r="E1" s="45"/>
    </row>
    <row r="2" spans="1:5" s="41" customFormat="1" ht="4.5" customHeight="1">
      <c r="A2" s="44"/>
      <c r="B2" s="44"/>
    </row>
    <row r="3" spans="1:5" ht="4.5" customHeight="1" thickBot="1">
      <c r="A3" s="42"/>
      <c r="B3" s="42"/>
    </row>
    <row r="4" spans="1:5" ht="21.75">
      <c r="A4" s="52" t="s">
        <v>30</v>
      </c>
      <c r="B4" s="58" t="s">
        <v>74</v>
      </c>
      <c r="C4" s="58" t="s">
        <v>146</v>
      </c>
      <c r="D4" s="53" t="s">
        <v>147</v>
      </c>
    </row>
    <row r="5" spans="1:5" ht="22.5" customHeight="1">
      <c r="A5" s="64" t="s">
        <v>126</v>
      </c>
      <c r="B5" s="57" t="s">
        <v>73</v>
      </c>
      <c r="C5" s="57" t="s">
        <v>148</v>
      </c>
      <c r="D5" s="67">
        <v>0.2</v>
      </c>
    </row>
    <row r="6" spans="1:5" ht="22.5" customHeight="1">
      <c r="A6" s="64" t="s">
        <v>127</v>
      </c>
      <c r="B6" s="57" t="s">
        <v>75</v>
      </c>
      <c r="C6" s="57" t="s">
        <v>149</v>
      </c>
      <c r="D6" s="67">
        <v>0.25</v>
      </c>
    </row>
    <row r="7" spans="1:5" ht="22.5" customHeight="1">
      <c r="A7" s="64" t="s">
        <v>128</v>
      </c>
      <c r="B7" s="57" t="s">
        <v>72</v>
      </c>
      <c r="C7" s="57" t="s">
        <v>150</v>
      </c>
      <c r="D7" s="67">
        <v>0.1</v>
      </c>
    </row>
    <row r="8" spans="1:5" ht="22.5" customHeight="1">
      <c r="A8" s="64" t="s">
        <v>129</v>
      </c>
      <c r="B8" s="57" t="s">
        <v>131</v>
      </c>
      <c r="C8" s="57" t="s">
        <v>151</v>
      </c>
      <c r="D8" s="67">
        <v>0.2</v>
      </c>
    </row>
    <row r="9" spans="1:5" ht="22.5" customHeight="1" thickBot="1">
      <c r="A9" s="65" t="s">
        <v>130</v>
      </c>
      <c r="B9" s="66" t="s">
        <v>132</v>
      </c>
      <c r="C9" s="66" t="s">
        <v>152</v>
      </c>
      <c r="D9" s="68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tabSelected="1" workbookViewId="0">
      <selection activeCell="C12" sqref="C12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4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40" customFormat="1" ht="40.15" customHeight="1">
      <c r="A1" s="43"/>
      <c r="B1" s="47" t="s">
        <v>145</v>
      </c>
      <c r="C1" s="45"/>
      <c r="D1" s="45"/>
      <c r="E1" s="45"/>
      <c r="F1" s="45"/>
      <c r="G1" s="45"/>
      <c r="H1" s="45"/>
      <c r="I1" s="45"/>
    </row>
    <row r="2" spans="1:9" s="41" customFormat="1" ht="4.5" customHeight="1">
      <c r="A2" s="44"/>
      <c r="B2" s="44"/>
      <c r="C2" s="44"/>
      <c r="D2" s="44"/>
      <c r="E2" s="44"/>
      <c r="F2" s="44"/>
    </row>
    <row r="3" spans="1:9" ht="4.5" customHeight="1">
      <c r="A3" s="42"/>
      <c r="B3" s="42"/>
      <c r="C3" s="42"/>
      <c r="D3" s="42"/>
      <c r="E3" s="42"/>
      <c r="F3" s="42"/>
    </row>
    <row r="4" spans="1:9" ht="23.25" customHeight="1">
      <c r="A4" s="42"/>
      <c r="B4" s="82" t="s">
        <v>154</v>
      </c>
      <c r="C4" s="82"/>
      <c r="D4" s="42"/>
      <c r="E4" s="82" t="s">
        <v>161</v>
      </c>
      <c r="F4" s="82"/>
    </row>
    <row r="5" spans="1:9" ht="5.25" customHeight="1" thickBot="1"/>
    <row r="6" spans="1:9" ht="24.6" customHeight="1" thickBot="1">
      <c r="B6" s="72" t="s">
        <v>155</v>
      </c>
      <c r="C6" s="71" t="s">
        <v>107</v>
      </c>
      <c r="E6" s="72" t="s">
        <v>160</v>
      </c>
      <c r="F6" s="76">
        <v>44949</v>
      </c>
    </row>
    <row r="7" spans="1:9" ht="24.6" customHeight="1" thickTop="1" thickBot="1">
      <c r="B7" s="72" t="s">
        <v>156</v>
      </c>
      <c r="C7" s="50" t="str">
        <f>IFERROR(VLOOKUP(C6,TB_Produtos[#All],2,FALSE),"")</f>
        <v>Camiseta Listrada</v>
      </c>
      <c r="E7" s="72" t="s">
        <v>163</v>
      </c>
      <c r="F7" s="50" t="str">
        <f>_xlfn.XLOOKUP(WEEKDAY(F6),'Cadastros Auxiliares'!B4:I4,'Cadastros Auxiliares'!B5:I5,"")</f>
        <v>Segunda-feira</v>
      </c>
      <c r="G7" s="49"/>
    </row>
    <row r="8" spans="1:9" ht="24.6" customHeight="1" thickTop="1" thickBot="1">
      <c r="B8" s="73" t="s">
        <v>157</v>
      </c>
      <c r="C8" s="48" t="str" cm="1">
        <f t="array" ref="C8">_xlfn.XLOOKUP(C6,TB_Produtos[[#All],[Código]],TB_Produtos[[#All],[Tamanho]],"")</f>
        <v>P</v>
      </c>
      <c r="E8" s="73" t="s">
        <v>164</v>
      </c>
      <c r="F8" s="77"/>
      <c r="G8" s="49"/>
    </row>
    <row r="9" spans="1:9" ht="24.6" customHeight="1" thickTop="1" thickBot="1">
      <c r="B9" s="74" t="s">
        <v>158</v>
      </c>
      <c r="C9" s="48" t="str">
        <f>IFERROR(VLOOKUP($C$6,Produtos!$B$6:$G$66,4,0),"")</f>
        <v>Vestuário</v>
      </c>
      <c r="E9" s="75" t="s">
        <v>162</v>
      </c>
      <c r="F9" s="51">
        <f>SUMIF(TB_Vendas[[#All],[Data]],Consultas!$F$6,TB_Vendas[[#All],[Qtd]])</f>
        <v>1</v>
      </c>
      <c r="G9" s="49"/>
    </row>
    <row r="10" spans="1:9" ht="24.6" customHeight="1" thickTop="1" thickBot="1">
      <c r="B10" s="74" t="s">
        <v>165</v>
      </c>
      <c r="C10" s="77">
        <f>_xlfn.XLOOKUP($C$6,Produtos!$B$6:$B$66,Produtos!$G$6:$G$66,"")</f>
        <v>32.9</v>
      </c>
      <c r="G10" s="49"/>
    </row>
    <row r="11" spans="1:9" ht="24.6" customHeight="1" thickTop="1" thickBot="1">
      <c r="B11" s="72" t="s">
        <v>159</v>
      </c>
      <c r="C11" s="50" cm="1">
        <f t="array" ref="C11">_xlfn.XLOOKUP($C$6,TB_Produtos[[#All],[Código]],TB_Produtos[[#All],[Estoque]],"")</f>
        <v>9</v>
      </c>
      <c r="G11" s="49"/>
    </row>
    <row r="12" spans="1:9" ht="23.25" thickTop="1" thickBot="1">
      <c r="B12" s="78" t="s">
        <v>166</v>
      </c>
      <c r="C12" s="51" t="str" cm="1">
        <f t="array" ref="C12">_xlfn.IFS(C11=0,"Estoque zerado",C11&gt;=_xlfn.XLOOKUP($C$9,'Cadastros Auxiliares'!G8:G11,'Cadastros Auxiliares'!H8:H11,""),"Estoque ok",1,"Rever estoque")</f>
        <v>Rever estoque</v>
      </c>
      <c r="E12" s="79"/>
    </row>
    <row r="13" spans="1:9"/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Vendas!$C:$C</xm:f>
          </x14:formula1>
          <xm:sqref>F6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I86"/>
  <sheetViews>
    <sheetView topLeftCell="B1" zoomScaleNormal="100" workbookViewId="0">
      <selection activeCell="G5" sqref="G5"/>
    </sheetView>
  </sheetViews>
  <sheetFormatPr defaultRowHeight="15"/>
  <cols>
    <col min="1" max="1" width="8.85546875" style="1" hidden="1" customWidth="1"/>
    <col min="2" max="2" width="8.85546875" style="1" customWidth="1"/>
    <col min="3" max="3" width="11.5703125" style="1" bestFit="1" customWidth="1"/>
    <col min="4" max="4" width="11.5703125" style="1" customWidth="1"/>
    <col min="5" max="5" width="10.140625" bestFit="1" customWidth="1"/>
    <col min="6" max="6" width="22.85546875" bestFit="1" customWidth="1"/>
    <col min="7" max="7" width="17" bestFit="1" customWidth="1"/>
    <col min="8" max="8" width="20.28515625" customWidth="1"/>
    <col min="9" max="9" width="17" bestFit="1" customWidth="1"/>
  </cols>
  <sheetData>
    <row r="1" spans="1:9" s="40" customFormat="1" ht="40.15" customHeight="1">
      <c r="A1" s="43"/>
      <c r="C1" s="47" t="s">
        <v>135</v>
      </c>
      <c r="D1" s="45"/>
      <c r="E1" s="45"/>
      <c r="F1" s="45"/>
      <c r="G1" s="45"/>
      <c r="H1" s="45"/>
      <c r="I1" s="45"/>
    </row>
    <row r="2" spans="1:9" s="41" customFormat="1" ht="4.5" customHeight="1">
      <c r="A2" s="44"/>
      <c r="B2" s="44"/>
      <c r="C2" s="44"/>
      <c r="D2" s="44"/>
      <c r="E2" s="44"/>
    </row>
    <row r="3" spans="1:9" ht="4.5" customHeight="1">
      <c r="A3" s="42"/>
      <c r="B3" s="42"/>
      <c r="C3" s="42"/>
      <c r="D3" s="42"/>
      <c r="E3" s="42"/>
    </row>
    <row r="4" spans="1:9" ht="19.5">
      <c r="A4" s="11" t="s">
        <v>125</v>
      </c>
      <c r="B4" s="36" t="s">
        <v>31</v>
      </c>
      <c r="C4" s="36" t="s">
        <v>76</v>
      </c>
      <c r="D4" s="36" t="s">
        <v>30</v>
      </c>
      <c r="E4" s="36" t="s">
        <v>15</v>
      </c>
      <c r="F4" s="36" t="s">
        <v>11</v>
      </c>
      <c r="G4" s="36" t="s">
        <v>133</v>
      </c>
      <c r="H4" s="37" t="s">
        <v>16</v>
      </c>
      <c r="I4" s="36" t="s">
        <v>74</v>
      </c>
    </row>
    <row r="5" spans="1:9">
      <c r="A5" s="10">
        <f>MONTH(TB_Vendas[[#This Row],[Data]])</f>
        <v>1</v>
      </c>
      <c r="B5" s="10" t="str">
        <f>PROPER(TEXT(DATE(,TB_Vendas[[#This Row],[Nº]],1),"Mmm"))</f>
        <v>Jan</v>
      </c>
      <c r="C5" s="9">
        <v>44931</v>
      </c>
      <c r="D5" s="10" t="s">
        <v>37</v>
      </c>
      <c r="E5" s="1">
        <v>1</v>
      </c>
      <c r="F5" s="29"/>
      <c r="G5" s="70"/>
      <c r="H5" s="8">
        <f>TB_Vendas[[#This Row],[Preço Unitário]]*TB_Vendas[[#This Row],[Qtd]]</f>
        <v>0</v>
      </c>
      <c r="I5" s="1" t="s">
        <v>127</v>
      </c>
    </row>
    <row r="6" spans="1:9">
      <c r="A6" s="10">
        <f>MONTH(TB_Vendas[[#This Row],[Data]])</f>
        <v>1</v>
      </c>
      <c r="B6" s="10" t="str">
        <f>PROPER(TEXT(DATE(,TB_Vendas[[#This Row],[Nº]],1),"Mmm"))</f>
        <v>Jan</v>
      </c>
      <c r="C6" s="9">
        <v>44932</v>
      </c>
      <c r="D6" s="10" t="s">
        <v>36</v>
      </c>
      <c r="E6" s="1">
        <v>1</v>
      </c>
      <c r="F6" s="29"/>
      <c r="G6" s="70"/>
      <c r="H6" s="8">
        <f>TB_Vendas[[#This Row],[Preço Unitário]]*TB_Vendas[[#This Row],[Qtd]]</f>
        <v>0</v>
      </c>
      <c r="I6" s="1" t="s">
        <v>127</v>
      </c>
    </row>
    <row r="7" spans="1:9">
      <c r="A7" s="10">
        <f>MONTH(TB_Vendas[[#This Row],[Data]])</f>
        <v>1</v>
      </c>
      <c r="B7" s="10" t="str">
        <f>PROPER(TEXT(DATE(,TB_Vendas[[#This Row],[Nº]],1),"Mmm"))</f>
        <v>Jan</v>
      </c>
      <c r="C7" s="9">
        <v>44933</v>
      </c>
      <c r="D7" s="10" t="s">
        <v>110</v>
      </c>
      <c r="E7" s="1">
        <v>2</v>
      </c>
      <c r="F7" s="29"/>
      <c r="G7" s="70"/>
      <c r="H7" s="8">
        <f>TB_Vendas[[#This Row],[Preço Unitário]]*TB_Vendas[[#This Row],[Qtd]]</f>
        <v>0</v>
      </c>
      <c r="I7" s="1" t="s">
        <v>126</v>
      </c>
    </row>
    <row r="8" spans="1:9">
      <c r="A8" s="10">
        <f>MONTH(TB_Vendas[[#This Row],[Data]])</f>
        <v>1</v>
      </c>
      <c r="B8" s="10" t="str">
        <f>PROPER(TEXT(DATE(,TB_Vendas[[#This Row],[Nº]],1),"Mmm"))</f>
        <v>Jan</v>
      </c>
      <c r="C8" s="9">
        <v>44938</v>
      </c>
      <c r="D8" s="10" t="s">
        <v>42</v>
      </c>
      <c r="E8" s="1">
        <v>1</v>
      </c>
      <c r="F8" s="29"/>
      <c r="G8" s="70"/>
      <c r="H8" s="8">
        <f>TB_Vendas[[#This Row],[Preço Unitário]]*TB_Vendas[[#This Row],[Qtd]]</f>
        <v>0</v>
      </c>
      <c r="I8" s="1" t="s">
        <v>130</v>
      </c>
    </row>
    <row r="9" spans="1:9">
      <c r="A9" s="10">
        <f>MONTH(TB_Vendas[[#This Row],[Data]])</f>
        <v>1</v>
      </c>
      <c r="B9" s="10" t="str">
        <f>PROPER(TEXT(DATE(,TB_Vendas[[#This Row],[Nº]],1),"Mmm"))</f>
        <v>Jan</v>
      </c>
      <c r="C9" s="9">
        <v>44939</v>
      </c>
      <c r="D9" s="10" t="s">
        <v>48</v>
      </c>
      <c r="E9" s="1">
        <v>1</v>
      </c>
      <c r="F9" s="29"/>
      <c r="G9" s="70"/>
      <c r="H9" s="8">
        <f>TB_Vendas[[#This Row],[Preço Unitário]]*TB_Vendas[[#This Row],[Qtd]]</f>
        <v>0</v>
      </c>
      <c r="I9" s="1" t="s">
        <v>127</v>
      </c>
    </row>
    <row r="10" spans="1:9">
      <c r="A10" s="10">
        <f>MONTH(TB_Vendas[[#This Row],[Data]])</f>
        <v>1</v>
      </c>
      <c r="B10" s="10" t="str">
        <f>PROPER(TEXT(DATE(,TB_Vendas[[#This Row],[Nº]],1),"Mmm"))</f>
        <v>Jan</v>
      </c>
      <c r="C10" s="9">
        <v>44943</v>
      </c>
      <c r="D10" s="10" t="s">
        <v>56</v>
      </c>
      <c r="E10" s="1">
        <v>1</v>
      </c>
      <c r="F10" s="29"/>
      <c r="G10" s="70"/>
      <c r="H10" s="8">
        <f>TB_Vendas[[#This Row],[Preço Unitário]]*TB_Vendas[[#This Row],[Qtd]]</f>
        <v>0</v>
      </c>
      <c r="I10" s="1" t="s">
        <v>130</v>
      </c>
    </row>
    <row r="11" spans="1:9">
      <c r="A11" s="10">
        <f>MONTH(TB_Vendas[[#This Row],[Data]])</f>
        <v>1</v>
      </c>
      <c r="B11" s="10" t="str">
        <f>PROPER(TEXT(DATE(,TB_Vendas[[#This Row],[Nº]],1),"Mmm"))</f>
        <v>Jan</v>
      </c>
      <c r="C11" s="9">
        <v>44949</v>
      </c>
      <c r="D11" s="10" t="s">
        <v>70</v>
      </c>
      <c r="E11" s="1">
        <v>1</v>
      </c>
      <c r="F11" s="29"/>
      <c r="G11" s="70"/>
      <c r="H11" s="8">
        <f>TB_Vendas[[#This Row],[Preço Unitário]]*TB_Vendas[[#This Row],[Qtd]]</f>
        <v>0</v>
      </c>
      <c r="I11" s="1" t="s">
        <v>128</v>
      </c>
    </row>
    <row r="12" spans="1:9">
      <c r="A12" s="10">
        <f>MONTH(TB_Vendas[[#This Row],[Data]])</f>
        <v>1</v>
      </c>
      <c r="B12" s="10" t="str">
        <f>PROPER(TEXT(DATE(,TB_Vendas[[#This Row],[Nº]],1),"Mmm"))</f>
        <v>Jan</v>
      </c>
      <c r="C12" s="9">
        <v>44952</v>
      </c>
      <c r="D12" s="10" t="s">
        <v>65</v>
      </c>
      <c r="E12" s="1">
        <v>2</v>
      </c>
      <c r="F12" s="29"/>
      <c r="G12" s="70"/>
      <c r="H12" s="8">
        <f>TB_Vendas[[#This Row],[Preço Unitário]]*TB_Vendas[[#This Row],[Qtd]]</f>
        <v>0</v>
      </c>
      <c r="I12" s="1" t="s">
        <v>128</v>
      </c>
    </row>
    <row r="13" spans="1:9">
      <c r="A13" s="10">
        <f>MONTH(TB_Vendas[[#This Row],[Data]])</f>
        <v>1</v>
      </c>
      <c r="B13" s="10" t="str">
        <f>PROPER(TEXT(DATE(,TB_Vendas[[#This Row],[Nº]],1),"Mmm"))</f>
        <v>Jan</v>
      </c>
      <c r="C13" s="9">
        <v>44954</v>
      </c>
      <c r="D13" s="10" t="s">
        <v>63</v>
      </c>
      <c r="E13" s="1">
        <v>2</v>
      </c>
      <c r="F13" s="29"/>
      <c r="G13" s="70"/>
      <c r="H13" s="8">
        <f>TB_Vendas[[#This Row],[Preço Unitário]]*TB_Vendas[[#This Row],[Qtd]]</f>
        <v>0</v>
      </c>
      <c r="I13" s="1" t="s">
        <v>127</v>
      </c>
    </row>
    <row r="14" spans="1:9">
      <c r="A14" s="10">
        <f>MONTH(TB_Vendas[[#This Row],[Data]])</f>
        <v>1</v>
      </c>
      <c r="B14" s="10" t="str">
        <f>PROPER(TEXT(DATE(,TB_Vendas[[#This Row],[Nº]],1),"Mmm"))</f>
        <v>Jan</v>
      </c>
      <c r="C14" s="9">
        <v>44955</v>
      </c>
      <c r="D14" s="10" t="s">
        <v>44</v>
      </c>
      <c r="E14" s="1">
        <v>1</v>
      </c>
      <c r="F14" s="29"/>
      <c r="G14" s="70"/>
      <c r="H14" s="8">
        <f>TB_Vendas[[#This Row],[Preço Unitário]]*TB_Vendas[[#This Row],[Qtd]]</f>
        <v>0</v>
      </c>
      <c r="I14" s="1" t="s">
        <v>127</v>
      </c>
    </row>
    <row r="15" spans="1:9">
      <c r="A15" s="10">
        <f>MONTH(TB_Vendas[[#This Row],[Data]])</f>
        <v>1</v>
      </c>
      <c r="B15" s="10" t="str">
        <f>PROPER(TEXT(DATE(,TB_Vendas[[#This Row],[Nº]],1),"Mmm"))</f>
        <v>Jan</v>
      </c>
      <c r="C15" s="9">
        <v>44956</v>
      </c>
      <c r="D15" s="10" t="s">
        <v>69</v>
      </c>
      <c r="E15" s="1">
        <v>1</v>
      </c>
      <c r="F15" s="29"/>
      <c r="G15" s="70"/>
      <c r="H15" s="8">
        <f>TB_Vendas[[#This Row],[Preço Unitário]]*TB_Vendas[[#This Row],[Qtd]]</f>
        <v>0</v>
      </c>
      <c r="I15" s="1" t="s">
        <v>129</v>
      </c>
    </row>
    <row r="16" spans="1:9">
      <c r="A16" s="10">
        <f>MONTH(TB_Vendas[[#This Row],[Data]])</f>
        <v>2</v>
      </c>
      <c r="B16" s="10" t="str">
        <f>PROPER(TEXT(DATE(,TB_Vendas[[#This Row],[Nº]],1),"Mmm"))</f>
        <v>Fev</v>
      </c>
      <c r="C16" s="9">
        <v>44960</v>
      </c>
      <c r="D16" s="10" t="s">
        <v>53</v>
      </c>
      <c r="E16" s="1">
        <v>1</v>
      </c>
      <c r="F16" s="29"/>
      <c r="G16" s="70"/>
      <c r="H16" s="8">
        <f>TB_Vendas[[#This Row],[Preço Unitário]]*TB_Vendas[[#This Row],[Qtd]]</f>
        <v>0</v>
      </c>
      <c r="I16" s="1" t="s">
        <v>128</v>
      </c>
    </row>
    <row r="17" spans="1:9">
      <c r="A17" s="10">
        <f>MONTH(TB_Vendas[[#This Row],[Data]])</f>
        <v>2</v>
      </c>
      <c r="B17" s="10" t="str">
        <f>PROPER(TEXT(DATE(,TB_Vendas[[#This Row],[Nº]],1),"Mmm"))</f>
        <v>Fev</v>
      </c>
      <c r="C17" s="9">
        <v>44962</v>
      </c>
      <c r="D17" s="10" t="s">
        <v>106</v>
      </c>
      <c r="E17" s="1">
        <v>2</v>
      </c>
      <c r="F17" s="29"/>
      <c r="G17" s="70"/>
      <c r="H17" s="8">
        <f>TB_Vendas[[#This Row],[Preço Unitário]]*TB_Vendas[[#This Row],[Qtd]]</f>
        <v>0</v>
      </c>
      <c r="I17" s="1" t="s">
        <v>129</v>
      </c>
    </row>
    <row r="18" spans="1:9">
      <c r="A18" s="10">
        <f>MONTH(TB_Vendas[[#This Row],[Data]])</f>
        <v>2</v>
      </c>
      <c r="B18" s="10" t="str">
        <f>PROPER(TEXT(DATE(,TB_Vendas[[#This Row],[Nº]],1),"Mmm"))</f>
        <v>Fev</v>
      </c>
      <c r="C18" s="9">
        <v>44975</v>
      </c>
      <c r="D18" s="10" t="s">
        <v>59</v>
      </c>
      <c r="E18" s="1">
        <v>1</v>
      </c>
      <c r="F18" s="29"/>
      <c r="G18" s="70"/>
      <c r="H18" s="8">
        <f>TB_Vendas[[#This Row],[Preço Unitário]]*TB_Vendas[[#This Row],[Qtd]]</f>
        <v>0</v>
      </c>
      <c r="I18" s="1" t="s">
        <v>129</v>
      </c>
    </row>
    <row r="19" spans="1:9">
      <c r="A19" s="10">
        <f>MONTH(TB_Vendas[[#This Row],[Data]])</f>
        <v>2</v>
      </c>
      <c r="B19" s="10" t="str">
        <f>PROPER(TEXT(DATE(,TB_Vendas[[#This Row],[Nº]],1),"Mmm"))</f>
        <v>Fev</v>
      </c>
      <c r="C19" s="9">
        <v>44978</v>
      </c>
      <c r="D19" s="10" t="s">
        <v>44</v>
      </c>
      <c r="E19" s="1">
        <v>2</v>
      </c>
      <c r="F19" s="29"/>
      <c r="G19" s="70"/>
      <c r="H19" s="8">
        <f>TB_Vendas[[#This Row],[Preço Unitário]]*TB_Vendas[[#This Row],[Qtd]]</f>
        <v>0</v>
      </c>
      <c r="I19" s="1" t="s">
        <v>129</v>
      </c>
    </row>
    <row r="20" spans="1:9">
      <c r="A20" s="10">
        <f>MONTH(TB_Vendas[[#This Row],[Data]])</f>
        <v>2</v>
      </c>
      <c r="B20" s="10" t="str">
        <f>PROPER(TEXT(DATE(,TB_Vendas[[#This Row],[Nº]],1),"Mmm"))</f>
        <v>Fev</v>
      </c>
      <c r="C20" s="9">
        <v>44981</v>
      </c>
      <c r="D20" s="10" t="s">
        <v>103</v>
      </c>
      <c r="E20" s="1">
        <v>4</v>
      </c>
      <c r="F20" s="29"/>
      <c r="G20" s="70"/>
      <c r="H20" s="8">
        <f>TB_Vendas[[#This Row],[Preço Unitário]]*TB_Vendas[[#This Row],[Qtd]]</f>
        <v>0</v>
      </c>
      <c r="I20" s="1" t="s">
        <v>129</v>
      </c>
    </row>
    <row r="21" spans="1:9">
      <c r="A21" s="10">
        <f>MONTH(TB_Vendas[[#This Row],[Data]])</f>
        <v>2</v>
      </c>
      <c r="B21" s="10" t="str">
        <f>PROPER(TEXT(DATE(,TB_Vendas[[#This Row],[Nº]],1),"Mmm"))</f>
        <v>Fev</v>
      </c>
      <c r="C21" s="9">
        <v>44982</v>
      </c>
      <c r="D21" s="10" t="s">
        <v>123</v>
      </c>
      <c r="E21" s="1">
        <v>3</v>
      </c>
      <c r="F21" s="29"/>
      <c r="G21" s="70"/>
      <c r="H21" s="8">
        <f>TB_Vendas[[#This Row],[Preço Unitário]]*TB_Vendas[[#This Row],[Qtd]]</f>
        <v>0</v>
      </c>
      <c r="I21" s="1" t="s">
        <v>127</v>
      </c>
    </row>
    <row r="22" spans="1:9">
      <c r="A22" s="10">
        <f>MONTH(TB_Vendas[[#This Row],[Data]])</f>
        <v>2</v>
      </c>
      <c r="B22" s="10" t="str">
        <f>PROPER(TEXT(DATE(,TB_Vendas[[#This Row],[Nº]],1),"Mmm"))</f>
        <v>Fev</v>
      </c>
      <c r="C22" s="9">
        <v>44983</v>
      </c>
      <c r="D22" s="10" t="s">
        <v>109</v>
      </c>
      <c r="E22" s="1">
        <v>2</v>
      </c>
      <c r="F22" s="29"/>
      <c r="G22" s="70"/>
      <c r="H22" s="8">
        <f>TB_Vendas[[#This Row],[Preço Unitário]]*TB_Vendas[[#This Row],[Qtd]]</f>
        <v>0</v>
      </c>
      <c r="I22" s="1" t="s">
        <v>126</v>
      </c>
    </row>
    <row r="23" spans="1:9">
      <c r="A23" s="10">
        <f>MONTH(TB_Vendas[[#This Row],[Data]])</f>
        <v>3</v>
      </c>
      <c r="B23" s="10" t="str">
        <f>PROPER(TEXT(DATE(,TB_Vendas[[#This Row],[Nº]],1),"Mmm"))</f>
        <v>Mar</v>
      </c>
      <c r="C23" s="9">
        <v>44986</v>
      </c>
      <c r="D23" s="10" t="s">
        <v>60</v>
      </c>
      <c r="E23" s="1">
        <v>3</v>
      </c>
      <c r="F23" s="29"/>
      <c r="G23" s="70"/>
      <c r="H23" s="8">
        <f>TB_Vendas[[#This Row],[Preço Unitário]]*TB_Vendas[[#This Row],[Qtd]]</f>
        <v>0</v>
      </c>
      <c r="I23" s="1" t="s">
        <v>129</v>
      </c>
    </row>
    <row r="24" spans="1:9">
      <c r="A24" s="10">
        <f>MONTH(TB_Vendas[[#This Row],[Data]])</f>
        <v>3</v>
      </c>
      <c r="B24" s="10" t="str">
        <f>PROPER(TEXT(DATE(,TB_Vendas[[#This Row],[Nº]],1),"Mmm"))</f>
        <v>Mar</v>
      </c>
      <c r="C24" s="9">
        <v>44986</v>
      </c>
      <c r="D24" s="10" t="s">
        <v>69</v>
      </c>
      <c r="E24" s="1">
        <v>1</v>
      </c>
      <c r="F24" s="29"/>
      <c r="G24" s="70"/>
      <c r="H24" s="8">
        <f>TB_Vendas[[#This Row],[Preço Unitário]]*TB_Vendas[[#This Row],[Qtd]]</f>
        <v>0</v>
      </c>
      <c r="I24" s="1" t="s">
        <v>126</v>
      </c>
    </row>
    <row r="25" spans="1:9">
      <c r="A25" s="10">
        <f>MONTH(TB_Vendas[[#This Row],[Data]])</f>
        <v>3</v>
      </c>
      <c r="B25" s="10" t="str">
        <f>PROPER(TEXT(DATE(,TB_Vendas[[#This Row],[Nº]],1),"Mmm"))</f>
        <v>Mar</v>
      </c>
      <c r="C25" s="9">
        <v>44987</v>
      </c>
      <c r="D25" s="10" t="s">
        <v>40</v>
      </c>
      <c r="E25" s="1">
        <v>4</v>
      </c>
      <c r="F25" s="29"/>
      <c r="G25" s="70"/>
      <c r="H25" s="8">
        <f>TB_Vendas[[#This Row],[Preço Unitário]]*TB_Vendas[[#This Row],[Qtd]]</f>
        <v>0</v>
      </c>
      <c r="I25" s="1" t="s">
        <v>128</v>
      </c>
    </row>
    <row r="26" spans="1:9">
      <c r="A26" s="10">
        <f>MONTH(TB_Vendas[[#This Row],[Data]])</f>
        <v>3</v>
      </c>
      <c r="B26" s="10" t="str">
        <f>PROPER(TEXT(DATE(,TB_Vendas[[#This Row],[Nº]],1),"Mmm"))</f>
        <v>Mar</v>
      </c>
      <c r="C26" s="9">
        <v>44988</v>
      </c>
      <c r="D26" s="10" t="s">
        <v>98</v>
      </c>
      <c r="E26" s="1">
        <v>2</v>
      </c>
      <c r="F26" s="29"/>
      <c r="G26" s="70"/>
      <c r="H26" s="8">
        <f>TB_Vendas[[#This Row],[Preço Unitário]]*TB_Vendas[[#This Row],[Qtd]]</f>
        <v>0</v>
      </c>
      <c r="I26" s="1" t="s">
        <v>126</v>
      </c>
    </row>
    <row r="27" spans="1:9">
      <c r="A27" s="10">
        <f>MONTH(TB_Vendas[[#This Row],[Data]])</f>
        <v>3</v>
      </c>
      <c r="B27" s="10" t="str">
        <f>PROPER(TEXT(DATE(,TB_Vendas[[#This Row],[Nº]],1),"Mmm"))</f>
        <v>Mar</v>
      </c>
      <c r="C27" s="9">
        <v>44989</v>
      </c>
      <c r="D27" s="10" t="s">
        <v>69</v>
      </c>
      <c r="E27" s="1">
        <v>3</v>
      </c>
      <c r="F27" s="29"/>
      <c r="G27" s="70"/>
      <c r="H27" s="8">
        <f>TB_Vendas[[#This Row],[Preço Unitário]]*TB_Vendas[[#This Row],[Qtd]]</f>
        <v>0</v>
      </c>
      <c r="I27" s="1" t="s">
        <v>127</v>
      </c>
    </row>
    <row r="28" spans="1:9">
      <c r="A28" s="10">
        <f>MONTH(TB_Vendas[[#This Row],[Data]])</f>
        <v>3</v>
      </c>
      <c r="B28" s="10" t="str">
        <f>PROPER(TEXT(DATE(,TB_Vendas[[#This Row],[Nº]],1),"Mmm"))</f>
        <v>Mar</v>
      </c>
      <c r="C28" s="9">
        <v>44994</v>
      </c>
      <c r="D28" s="10" t="s">
        <v>58</v>
      </c>
      <c r="E28" s="1">
        <v>2</v>
      </c>
      <c r="F28" s="29"/>
      <c r="G28" s="70"/>
      <c r="H28" s="8">
        <f>TB_Vendas[[#This Row],[Preço Unitário]]*TB_Vendas[[#This Row],[Qtd]]</f>
        <v>0</v>
      </c>
      <c r="I28" s="1" t="s">
        <v>127</v>
      </c>
    </row>
    <row r="29" spans="1:9">
      <c r="A29" s="10">
        <f>MONTH(TB_Vendas[[#This Row],[Data]])</f>
        <v>3</v>
      </c>
      <c r="B29" s="10" t="str">
        <f>PROPER(TEXT(DATE(,TB_Vendas[[#This Row],[Nº]],1),"Mmm"))</f>
        <v>Mar</v>
      </c>
      <c r="C29" s="9">
        <v>44999</v>
      </c>
      <c r="D29" s="10" t="s">
        <v>32</v>
      </c>
      <c r="E29" s="1">
        <v>1</v>
      </c>
      <c r="F29" s="29"/>
      <c r="G29" s="70"/>
      <c r="H29" s="8">
        <f>TB_Vendas[[#This Row],[Preço Unitário]]*TB_Vendas[[#This Row],[Qtd]]</f>
        <v>0</v>
      </c>
      <c r="I29" s="1" t="s">
        <v>129</v>
      </c>
    </row>
    <row r="30" spans="1:9">
      <c r="A30" s="10">
        <f>MONTH(TB_Vendas[[#This Row],[Data]])</f>
        <v>3</v>
      </c>
      <c r="B30" s="10" t="str">
        <f>PROPER(TEXT(DATE(,TB_Vendas[[#This Row],[Nº]],1),"Mmm"))</f>
        <v>Mar</v>
      </c>
      <c r="C30" s="9">
        <v>45004</v>
      </c>
      <c r="D30" s="10" t="s">
        <v>107</v>
      </c>
      <c r="E30" s="1">
        <v>5</v>
      </c>
      <c r="F30" s="29"/>
      <c r="G30" s="70"/>
      <c r="H30" s="8">
        <f>TB_Vendas[[#This Row],[Preço Unitário]]*TB_Vendas[[#This Row],[Qtd]]</f>
        <v>0</v>
      </c>
      <c r="I30" s="1" t="s">
        <v>130</v>
      </c>
    </row>
    <row r="31" spans="1:9">
      <c r="A31" s="10">
        <f>MONTH(TB_Vendas[[#This Row],[Data]])</f>
        <v>3</v>
      </c>
      <c r="B31" s="10" t="str">
        <f>PROPER(TEXT(DATE(,TB_Vendas[[#This Row],[Nº]],1),"Mmm"))</f>
        <v>Mar</v>
      </c>
      <c r="C31" s="9">
        <v>45006</v>
      </c>
      <c r="D31" s="10" t="s">
        <v>122</v>
      </c>
      <c r="E31" s="1">
        <v>2</v>
      </c>
      <c r="F31" s="29"/>
      <c r="G31" s="70"/>
      <c r="H31" s="8">
        <f>TB_Vendas[[#This Row],[Preço Unitário]]*TB_Vendas[[#This Row],[Qtd]]</f>
        <v>0</v>
      </c>
      <c r="I31" s="1" t="s">
        <v>127</v>
      </c>
    </row>
    <row r="32" spans="1:9">
      <c r="A32" s="10">
        <f>MONTH(TB_Vendas[[#This Row],[Data]])</f>
        <v>3</v>
      </c>
      <c r="B32" s="10" t="str">
        <f>PROPER(TEXT(DATE(,TB_Vendas[[#This Row],[Nº]],1),"Mmm"))</f>
        <v>Mar</v>
      </c>
      <c r="C32" s="9">
        <v>45010</v>
      </c>
      <c r="D32" s="10" t="s">
        <v>57</v>
      </c>
      <c r="E32" s="1">
        <v>3</v>
      </c>
      <c r="F32" s="29"/>
      <c r="G32" s="70"/>
      <c r="H32" s="8">
        <f>TB_Vendas[[#This Row],[Preço Unitário]]*TB_Vendas[[#This Row],[Qtd]]</f>
        <v>0</v>
      </c>
      <c r="I32" s="1" t="s">
        <v>126</v>
      </c>
    </row>
    <row r="33" spans="1:9">
      <c r="A33" s="10">
        <f>MONTH(TB_Vendas[[#This Row],[Data]])</f>
        <v>4</v>
      </c>
      <c r="B33" s="10" t="str">
        <f>PROPER(TEXT(DATE(,TB_Vendas[[#This Row],[Nº]],1),"Mmm"))</f>
        <v>Abr</v>
      </c>
      <c r="C33" s="9">
        <v>45018</v>
      </c>
      <c r="D33" s="10" t="s">
        <v>101</v>
      </c>
      <c r="E33" s="1">
        <v>1</v>
      </c>
      <c r="F33" s="29"/>
      <c r="G33" s="70"/>
      <c r="H33" s="8">
        <f>TB_Vendas[[#This Row],[Preço Unitário]]*TB_Vendas[[#This Row],[Qtd]]</f>
        <v>0</v>
      </c>
      <c r="I33" s="1" t="s">
        <v>128</v>
      </c>
    </row>
    <row r="34" spans="1:9">
      <c r="A34" s="10">
        <f>MONTH(TB_Vendas[[#This Row],[Data]])</f>
        <v>4</v>
      </c>
      <c r="B34" s="10" t="str">
        <f>PROPER(TEXT(DATE(,TB_Vendas[[#This Row],[Nº]],1),"Mmm"))</f>
        <v>Abr</v>
      </c>
      <c r="C34" s="9">
        <v>45020</v>
      </c>
      <c r="D34" s="10" t="s">
        <v>55</v>
      </c>
      <c r="E34" s="1">
        <v>4</v>
      </c>
      <c r="F34" s="29"/>
      <c r="G34" s="70"/>
      <c r="H34" s="8">
        <f>TB_Vendas[[#This Row],[Preço Unitário]]*TB_Vendas[[#This Row],[Qtd]]</f>
        <v>0</v>
      </c>
      <c r="I34" s="1" t="s">
        <v>126</v>
      </c>
    </row>
    <row r="35" spans="1:9">
      <c r="A35" s="10">
        <f>MONTH(TB_Vendas[[#This Row],[Data]])</f>
        <v>4</v>
      </c>
      <c r="B35" s="10" t="str">
        <f>PROPER(TEXT(DATE(,TB_Vendas[[#This Row],[Nº]],1),"Mmm"))</f>
        <v>Abr</v>
      </c>
      <c r="C35" s="9">
        <v>45024</v>
      </c>
      <c r="D35" s="10" t="s">
        <v>47</v>
      </c>
      <c r="E35" s="1">
        <v>3</v>
      </c>
      <c r="F35" s="29"/>
      <c r="G35" s="70"/>
      <c r="H35" s="8">
        <f>TB_Vendas[[#This Row],[Preço Unitário]]*TB_Vendas[[#This Row],[Qtd]]</f>
        <v>0</v>
      </c>
      <c r="I35" s="1" t="s">
        <v>127</v>
      </c>
    </row>
    <row r="36" spans="1:9">
      <c r="A36" s="10">
        <f>MONTH(TB_Vendas[[#This Row],[Data]])</f>
        <v>4</v>
      </c>
      <c r="B36" s="10" t="str">
        <f>PROPER(TEXT(DATE(,TB_Vendas[[#This Row],[Nº]],1),"Mmm"))</f>
        <v>Abr</v>
      </c>
      <c r="C36" s="9">
        <v>45027</v>
      </c>
      <c r="D36" s="10" t="s">
        <v>35</v>
      </c>
      <c r="E36" s="1">
        <v>2</v>
      </c>
      <c r="F36" s="29"/>
      <c r="G36" s="70"/>
      <c r="H36" s="8">
        <f>TB_Vendas[[#This Row],[Preço Unitário]]*TB_Vendas[[#This Row],[Qtd]]</f>
        <v>0</v>
      </c>
      <c r="I36" s="1" t="s">
        <v>126</v>
      </c>
    </row>
    <row r="37" spans="1:9">
      <c r="A37" s="10">
        <f>MONTH(TB_Vendas[[#This Row],[Data]])</f>
        <v>4</v>
      </c>
      <c r="B37" s="10" t="str">
        <f>PROPER(TEXT(DATE(,TB_Vendas[[#This Row],[Nº]],1),"Mmm"))</f>
        <v>Abr</v>
      </c>
      <c r="C37" s="9">
        <v>45028</v>
      </c>
      <c r="D37" s="10" t="s">
        <v>37</v>
      </c>
      <c r="E37" s="1">
        <v>1</v>
      </c>
      <c r="F37" s="29"/>
      <c r="G37" s="70"/>
      <c r="H37" s="8">
        <f>TB_Vendas[[#This Row],[Preço Unitário]]*TB_Vendas[[#This Row],[Qtd]]</f>
        <v>0</v>
      </c>
      <c r="I37" s="1" t="s">
        <v>127</v>
      </c>
    </row>
    <row r="38" spans="1:9">
      <c r="A38" s="10">
        <f>MONTH(TB_Vendas[[#This Row],[Data]])</f>
        <v>4</v>
      </c>
      <c r="B38" s="10" t="str">
        <f>PROPER(TEXT(DATE(,TB_Vendas[[#This Row],[Nº]],1),"Mmm"))</f>
        <v>Abr</v>
      </c>
      <c r="C38" s="9">
        <v>45029</v>
      </c>
      <c r="D38" s="10" t="s">
        <v>57</v>
      </c>
      <c r="E38" s="1">
        <v>3</v>
      </c>
      <c r="F38" s="29"/>
      <c r="G38" s="70"/>
      <c r="H38" s="8">
        <f>TB_Vendas[[#This Row],[Preço Unitário]]*TB_Vendas[[#This Row],[Qtd]]</f>
        <v>0</v>
      </c>
      <c r="I38" s="1" t="s">
        <v>129</v>
      </c>
    </row>
    <row r="39" spans="1:9">
      <c r="A39" s="10">
        <f>MONTH(TB_Vendas[[#This Row],[Data]])</f>
        <v>4</v>
      </c>
      <c r="B39" s="10" t="str">
        <f>PROPER(TEXT(DATE(,TB_Vendas[[#This Row],[Nº]],1),"Mmm"))</f>
        <v>Abr</v>
      </c>
      <c r="C39" s="9">
        <v>45031</v>
      </c>
      <c r="D39" s="10" t="s">
        <v>118</v>
      </c>
      <c r="E39" s="1">
        <v>4</v>
      </c>
      <c r="F39" s="29"/>
      <c r="G39" s="70"/>
      <c r="H39" s="8">
        <f>TB_Vendas[[#This Row],[Preço Unitário]]*TB_Vendas[[#This Row],[Qtd]]</f>
        <v>0</v>
      </c>
      <c r="I39" s="1" t="s">
        <v>126</v>
      </c>
    </row>
    <row r="40" spans="1:9">
      <c r="A40" s="10">
        <f>MONTH(TB_Vendas[[#This Row],[Data]])</f>
        <v>4</v>
      </c>
      <c r="B40" s="10" t="str">
        <f>PROPER(TEXT(DATE(,TB_Vendas[[#This Row],[Nº]],1),"Mmm"))</f>
        <v>Abr</v>
      </c>
      <c r="C40" s="9">
        <v>45038</v>
      </c>
      <c r="D40" s="10" t="s">
        <v>115</v>
      </c>
      <c r="E40" s="1">
        <v>2</v>
      </c>
      <c r="F40" s="29"/>
      <c r="G40" s="70"/>
      <c r="H40" s="8">
        <f>TB_Vendas[[#This Row],[Preço Unitário]]*TB_Vendas[[#This Row],[Qtd]]</f>
        <v>0</v>
      </c>
      <c r="I40" s="1" t="s">
        <v>129</v>
      </c>
    </row>
    <row r="41" spans="1:9">
      <c r="A41" s="10">
        <f>MONTH(TB_Vendas[[#This Row],[Data]])</f>
        <v>4</v>
      </c>
      <c r="B41" s="10" t="str">
        <f>PROPER(TEXT(DATE(,TB_Vendas[[#This Row],[Nº]],1),"Mmm"))</f>
        <v>Abr</v>
      </c>
      <c r="C41" s="9">
        <v>45039</v>
      </c>
      <c r="D41" s="10" t="s">
        <v>33</v>
      </c>
      <c r="E41" s="1">
        <v>3</v>
      </c>
      <c r="F41" s="29"/>
      <c r="G41" s="70"/>
      <c r="H41" s="8">
        <f>TB_Vendas[[#This Row],[Preço Unitário]]*TB_Vendas[[#This Row],[Qtd]]</f>
        <v>0</v>
      </c>
      <c r="I41" s="1" t="s">
        <v>126</v>
      </c>
    </row>
    <row r="42" spans="1:9">
      <c r="A42" s="10">
        <f>MONTH(TB_Vendas[[#This Row],[Data]])</f>
        <v>4</v>
      </c>
      <c r="B42" s="10" t="str">
        <f>PROPER(TEXT(DATE(,TB_Vendas[[#This Row],[Nº]],1),"Mmm"))</f>
        <v>Abr</v>
      </c>
      <c r="C42" s="9">
        <v>45042</v>
      </c>
      <c r="D42" s="10" t="s">
        <v>35</v>
      </c>
      <c r="E42" s="1">
        <v>1</v>
      </c>
      <c r="F42" s="29"/>
      <c r="G42" s="70"/>
      <c r="H42" s="8">
        <f>TB_Vendas[[#This Row],[Preço Unitário]]*TB_Vendas[[#This Row],[Qtd]]</f>
        <v>0</v>
      </c>
      <c r="I42" s="1" t="s">
        <v>130</v>
      </c>
    </row>
    <row r="43" spans="1:9">
      <c r="A43" s="10">
        <f>MONTH(TB_Vendas[[#This Row],[Data]])</f>
        <v>4</v>
      </c>
      <c r="B43" s="10" t="str">
        <f>PROPER(TEXT(DATE(,TB_Vendas[[#This Row],[Nº]],1),"Mmm"))</f>
        <v>Abr</v>
      </c>
      <c r="C43" s="9">
        <v>45043</v>
      </c>
      <c r="D43" s="10" t="s">
        <v>42</v>
      </c>
      <c r="E43" s="1">
        <v>4</v>
      </c>
      <c r="F43" s="29"/>
      <c r="G43" s="70"/>
      <c r="H43" s="8">
        <f>TB_Vendas[[#This Row],[Preço Unitário]]*TB_Vendas[[#This Row],[Qtd]]</f>
        <v>0</v>
      </c>
      <c r="I43" s="1" t="s">
        <v>126</v>
      </c>
    </row>
    <row r="44" spans="1:9">
      <c r="A44" s="10">
        <f>MONTH(TB_Vendas[[#This Row],[Data]])</f>
        <v>5</v>
      </c>
      <c r="B44" s="10" t="str">
        <f>PROPER(TEXT(DATE(,TB_Vendas[[#This Row],[Nº]],1),"Mmm"))</f>
        <v>Mai</v>
      </c>
      <c r="C44" s="9">
        <v>45054</v>
      </c>
      <c r="D44" s="10" t="s">
        <v>99</v>
      </c>
      <c r="E44" s="1">
        <v>2</v>
      </c>
      <c r="F44" s="29"/>
      <c r="G44" s="70"/>
      <c r="H44" s="8">
        <f>TB_Vendas[[#This Row],[Preço Unitário]]*TB_Vendas[[#This Row],[Qtd]]</f>
        <v>0</v>
      </c>
      <c r="I44" s="1" t="s">
        <v>130</v>
      </c>
    </row>
    <row r="45" spans="1:9">
      <c r="A45" s="10">
        <f>MONTH(TB_Vendas[[#This Row],[Data]])</f>
        <v>5</v>
      </c>
      <c r="B45" s="10" t="str">
        <f>PROPER(TEXT(DATE(,TB_Vendas[[#This Row],[Nº]],1),"Mmm"))</f>
        <v>Mai</v>
      </c>
      <c r="C45" s="9">
        <v>45055</v>
      </c>
      <c r="D45" s="10" t="s">
        <v>68</v>
      </c>
      <c r="E45" s="1">
        <v>3</v>
      </c>
      <c r="F45" s="29"/>
      <c r="G45" s="70"/>
      <c r="H45" s="8">
        <f>TB_Vendas[[#This Row],[Preço Unitário]]*TB_Vendas[[#This Row],[Qtd]]</f>
        <v>0</v>
      </c>
      <c r="I45" s="1" t="s">
        <v>129</v>
      </c>
    </row>
    <row r="46" spans="1:9">
      <c r="A46" s="10">
        <f>MONTH(TB_Vendas[[#This Row],[Data]])</f>
        <v>5</v>
      </c>
      <c r="B46" s="10" t="str">
        <f>PROPER(TEXT(DATE(,TB_Vendas[[#This Row],[Nº]],1),"Mmm"))</f>
        <v>Mai</v>
      </c>
      <c r="C46" s="9">
        <v>45056</v>
      </c>
      <c r="D46" s="10" t="s">
        <v>66</v>
      </c>
      <c r="E46" s="1">
        <v>1</v>
      </c>
      <c r="F46" s="29"/>
      <c r="G46" s="70"/>
      <c r="H46" s="8">
        <f>TB_Vendas[[#This Row],[Preço Unitário]]*TB_Vendas[[#This Row],[Qtd]]</f>
        <v>0</v>
      </c>
      <c r="I46" s="1" t="s">
        <v>127</v>
      </c>
    </row>
    <row r="47" spans="1:9">
      <c r="A47" s="10">
        <f>MONTH(TB_Vendas[[#This Row],[Data]])</f>
        <v>5</v>
      </c>
      <c r="B47" s="10" t="str">
        <f>PROPER(TEXT(DATE(,TB_Vendas[[#This Row],[Nº]],1),"Mmm"))</f>
        <v>Mai</v>
      </c>
      <c r="C47" s="9">
        <v>45057</v>
      </c>
      <c r="D47" s="10" t="s">
        <v>57</v>
      </c>
      <c r="E47" s="1">
        <v>2</v>
      </c>
      <c r="F47" s="29"/>
      <c r="G47" s="70"/>
      <c r="H47" s="8">
        <f>TB_Vendas[[#This Row],[Preço Unitário]]*TB_Vendas[[#This Row],[Qtd]]</f>
        <v>0</v>
      </c>
      <c r="I47" s="1" t="s">
        <v>129</v>
      </c>
    </row>
    <row r="48" spans="1:9">
      <c r="A48" s="10">
        <f>MONTH(TB_Vendas[[#This Row],[Data]])</f>
        <v>5</v>
      </c>
      <c r="B48" s="10" t="str">
        <f>PROPER(TEXT(DATE(,TB_Vendas[[#This Row],[Nº]],1),"Mmm"))</f>
        <v>Mai</v>
      </c>
      <c r="C48" s="9">
        <v>45058</v>
      </c>
      <c r="D48" s="10" t="s">
        <v>32</v>
      </c>
      <c r="E48" s="1">
        <v>3</v>
      </c>
      <c r="F48" s="29"/>
      <c r="G48" s="70"/>
      <c r="H48" s="8">
        <f>TB_Vendas[[#This Row],[Preço Unitário]]*TB_Vendas[[#This Row],[Qtd]]</f>
        <v>0</v>
      </c>
      <c r="I48" s="1" t="s">
        <v>127</v>
      </c>
    </row>
    <row r="49" spans="1:9">
      <c r="A49" s="10">
        <f>MONTH(TB_Vendas[[#This Row],[Data]])</f>
        <v>5</v>
      </c>
      <c r="B49" s="10" t="str">
        <f>PROPER(TEXT(DATE(,TB_Vendas[[#This Row],[Nº]],1),"Mmm"))</f>
        <v>Mai</v>
      </c>
      <c r="C49" s="9">
        <v>45061</v>
      </c>
      <c r="D49" s="10" t="s">
        <v>66</v>
      </c>
      <c r="E49" s="1">
        <v>2</v>
      </c>
      <c r="F49" s="29"/>
      <c r="G49" s="70"/>
      <c r="H49" s="8">
        <f>TB_Vendas[[#This Row],[Preço Unitário]]*TB_Vendas[[#This Row],[Qtd]]</f>
        <v>0</v>
      </c>
      <c r="I49" s="1" t="s">
        <v>126</v>
      </c>
    </row>
    <row r="50" spans="1:9">
      <c r="A50" s="10">
        <f>MONTH(TB_Vendas[[#This Row],[Data]])</f>
        <v>5</v>
      </c>
      <c r="B50" s="10" t="str">
        <f>PROPER(TEXT(DATE(,TB_Vendas[[#This Row],[Nº]],1),"Mmm"))</f>
        <v>Mai</v>
      </c>
      <c r="C50" s="9">
        <v>45064</v>
      </c>
      <c r="D50" s="10" t="s">
        <v>36</v>
      </c>
      <c r="E50" s="1">
        <v>4</v>
      </c>
      <c r="F50" s="29"/>
      <c r="G50" s="70"/>
      <c r="H50" s="8">
        <f>TB_Vendas[[#This Row],[Preço Unitário]]*TB_Vendas[[#This Row],[Qtd]]</f>
        <v>0</v>
      </c>
      <c r="I50" s="1" t="s">
        <v>127</v>
      </c>
    </row>
    <row r="51" spans="1:9">
      <c r="A51" s="10">
        <f>MONTH(TB_Vendas[[#This Row],[Data]])</f>
        <v>6</v>
      </c>
      <c r="B51" s="10" t="str">
        <f>PROPER(TEXT(DATE(,TB_Vendas[[#This Row],[Nº]],1),"Mmm"))</f>
        <v>Jun</v>
      </c>
      <c r="C51" s="9">
        <v>45084</v>
      </c>
      <c r="D51" s="10" t="s">
        <v>35</v>
      </c>
      <c r="E51" s="1">
        <v>3</v>
      </c>
      <c r="F51" s="29"/>
      <c r="G51" s="70"/>
      <c r="H51" s="8">
        <f>TB_Vendas[[#This Row],[Preço Unitário]]*TB_Vendas[[#This Row],[Qtd]]</f>
        <v>0</v>
      </c>
      <c r="I51" s="1" t="s">
        <v>126</v>
      </c>
    </row>
    <row r="52" spans="1:9">
      <c r="A52" s="10">
        <f>MONTH(TB_Vendas[[#This Row],[Data]])</f>
        <v>6</v>
      </c>
      <c r="B52" s="10" t="str">
        <f>PROPER(TEXT(DATE(,TB_Vendas[[#This Row],[Nº]],1),"Mmm"))</f>
        <v>Jun</v>
      </c>
      <c r="C52" s="9">
        <v>45084</v>
      </c>
      <c r="D52" s="10" t="s">
        <v>69</v>
      </c>
      <c r="E52" s="1">
        <v>2</v>
      </c>
      <c r="F52" s="29"/>
      <c r="G52" s="70"/>
      <c r="H52" s="8">
        <f>TB_Vendas[[#This Row],[Preço Unitário]]*TB_Vendas[[#This Row],[Qtd]]</f>
        <v>0</v>
      </c>
      <c r="I52" s="1" t="s">
        <v>128</v>
      </c>
    </row>
    <row r="53" spans="1:9">
      <c r="A53" s="10">
        <f>MONTH(TB_Vendas[[#This Row],[Data]])</f>
        <v>6</v>
      </c>
      <c r="B53" s="10" t="str">
        <f>PROPER(TEXT(DATE(,TB_Vendas[[#This Row],[Nº]],1),"Mmm"))</f>
        <v>Jun</v>
      </c>
      <c r="C53" s="9">
        <v>45086</v>
      </c>
      <c r="D53" s="10" t="s">
        <v>122</v>
      </c>
      <c r="E53" s="1">
        <v>2</v>
      </c>
      <c r="F53" s="29"/>
      <c r="G53" s="70"/>
      <c r="H53" s="8">
        <f>TB_Vendas[[#This Row],[Preço Unitário]]*TB_Vendas[[#This Row],[Qtd]]</f>
        <v>0</v>
      </c>
      <c r="I53" s="1" t="s">
        <v>126</v>
      </c>
    </row>
    <row r="54" spans="1:9">
      <c r="A54" s="10">
        <f>MONTH(TB_Vendas[[#This Row],[Data]])</f>
        <v>6</v>
      </c>
      <c r="B54" s="10" t="str">
        <f>PROPER(TEXT(DATE(,TB_Vendas[[#This Row],[Nº]],1),"Mmm"))</f>
        <v>Jun</v>
      </c>
      <c r="C54" s="9">
        <v>45086</v>
      </c>
      <c r="D54" s="10" t="s">
        <v>46</v>
      </c>
      <c r="E54" s="1">
        <v>2</v>
      </c>
      <c r="F54" s="29"/>
      <c r="G54" s="70"/>
      <c r="H54" s="8">
        <f>TB_Vendas[[#This Row],[Preço Unitário]]*TB_Vendas[[#This Row],[Qtd]]</f>
        <v>0</v>
      </c>
      <c r="I54" s="1" t="s">
        <v>128</v>
      </c>
    </row>
    <row r="55" spans="1:9">
      <c r="A55" s="10">
        <f>MONTH(TB_Vendas[[#This Row],[Data]])</f>
        <v>6</v>
      </c>
      <c r="B55" s="10" t="str">
        <f>PROPER(TEXT(DATE(,TB_Vendas[[#This Row],[Nº]],1),"Mmm"))</f>
        <v>Jun</v>
      </c>
      <c r="C55" s="9">
        <v>45088</v>
      </c>
      <c r="D55" s="10" t="s">
        <v>32</v>
      </c>
      <c r="E55" s="1">
        <v>1</v>
      </c>
      <c r="F55" s="29"/>
      <c r="G55" s="70"/>
      <c r="H55" s="8">
        <f>TB_Vendas[[#This Row],[Preço Unitário]]*TB_Vendas[[#This Row],[Qtd]]</f>
        <v>0</v>
      </c>
      <c r="I55" s="1" t="s">
        <v>127</v>
      </c>
    </row>
    <row r="56" spans="1:9">
      <c r="A56" s="10">
        <f>MONTH(TB_Vendas[[#This Row],[Data]])</f>
        <v>6</v>
      </c>
      <c r="B56" s="10" t="str">
        <f>PROPER(TEXT(DATE(,TB_Vendas[[#This Row],[Nº]],1),"Mmm"))</f>
        <v>Jun</v>
      </c>
      <c r="C56" s="9">
        <v>45090</v>
      </c>
      <c r="D56" s="10" t="s">
        <v>119</v>
      </c>
      <c r="E56" s="1">
        <v>1</v>
      </c>
      <c r="F56" s="29"/>
      <c r="G56" s="70"/>
      <c r="H56" s="8">
        <f>TB_Vendas[[#This Row],[Preço Unitário]]*TB_Vendas[[#This Row],[Qtd]]</f>
        <v>0</v>
      </c>
      <c r="I56" s="1" t="s">
        <v>128</v>
      </c>
    </row>
    <row r="57" spans="1:9">
      <c r="A57" s="10">
        <f>MONTH(TB_Vendas[[#This Row],[Data]])</f>
        <v>6</v>
      </c>
      <c r="B57" s="10" t="str">
        <f>PROPER(TEXT(DATE(,TB_Vendas[[#This Row],[Nº]],1),"Mmm"))</f>
        <v>Jun</v>
      </c>
      <c r="C57" s="9">
        <v>45093</v>
      </c>
      <c r="D57" s="10" t="s">
        <v>109</v>
      </c>
      <c r="E57" s="1">
        <v>3</v>
      </c>
      <c r="F57" s="29"/>
      <c r="G57" s="70"/>
      <c r="H57" s="8">
        <f>TB_Vendas[[#This Row],[Preço Unitário]]*TB_Vendas[[#This Row],[Qtd]]</f>
        <v>0</v>
      </c>
      <c r="I57" s="1" t="s">
        <v>127</v>
      </c>
    </row>
    <row r="58" spans="1:9">
      <c r="A58" s="10">
        <f>MONTH(TB_Vendas[[#This Row],[Data]])</f>
        <v>6</v>
      </c>
      <c r="B58" s="10" t="str">
        <f>PROPER(TEXT(DATE(,TB_Vendas[[#This Row],[Nº]],1),"Mmm"))</f>
        <v>Jun</v>
      </c>
      <c r="C58" s="9">
        <v>45093</v>
      </c>
      <c r="D58" s="10" t="s">
        <v>40</v>
      </c>
      <c r="E58" s="1">
        <v>4</v>
      </c>
      <c r="F58" s="29"/>
      <c r="G58" s="70"/>
      <c r="H58" s="8">
        <f>TB_Vendas[[#This Row],[Preço Unitário]]*TB_Vendas[[#This Row],[Qtd]]</f>
        <v>0</v>
      </c>
      <c r="I58" s="1" t="s">
        <v>126</v>
      </c>
    </row>
    <row r="59" spans="1:9">
      <c r="A59" s="10">
        <f>MONTH(TB_Vendas[[#This Row],[Data]])</f>
        <v>6</v>
      </c>
      <c r="B59" s="10" t="str">
        <f>PROPER(TEXT(DATE(,TB_Vendas[[#This Row],[Nº]],1),"Mmm"))</f>
        <v>Jun</v>
      </c>
      <c r="C59" s="9">
        <v>45094</v>
      </c>
      <c r="D59" s="10" t="s">
        <v>64</v>
      </c>
      <c r="E59" s="1">
        <v>2</v>
      </c>
      <c r="F59" s="29"/>
      <c r="G59" s="70"/>
      <c r="H59" s="8">
        <f>TB_Vendas[[#This Row],[Preço Unitário]]*TB_Vendas[[#This Row],[Qtd]]</f>
        <v>0</v>
      </c>
      <c r="I59" s="1" t="s">
        <v>128</v>
      </c>
    </row>
    <row r="60" spans="1:9">
      <c r="A60" s="10">
        <f>MONTH(TB_Vendas[[#This Row],[Data]])</f>
        <v>6</v>
      </c>
      <c r="B60" s="10" t="str">
        <f>PROPER(TEXT(DATE(,TB_Vendas[[#This Row],[Nº]],1),"Mmm"))</f>
        <v>Jun</v>
      </c>
      <c r="C60" s="9">
        <v>45097</v>
      </c>
      <c r="D60" s="10" t="s">
        <v>55</v>
      </c>
      <c r="E60" s="1">
        <v>1</v>
      </c>
      <c r="F60" s="29"/>
      <c r="G60" s="70"/>
      <c r="H60" s="8">
        <f>TB_Vendas[[#This Row],[Preço Unitário]]*TB_Vendas[[#This Row],[Qtd]]</f>
        <v>0</v>
      </c>
      <c r="I60" s="1" t="s">
        <v>130</v>
      </c>
    </row>
    <row r="61" spans="1:9">
      <c r="A61" s="10">
        <f>MONTH(TB_Vendas[[#This Row],[Data]])</f>
        <v>6</v>
      </c>
      <c r="B61" s="10" t="str">
        <f>PROPER(TEXT(DATE(,TB_Vendas[[#This Row],[Nº]],1),"Mmm"))</f>
        <v>Jun</v>
      </c>
      <c r="C61" s="9">
        <v>45105</v>
      </c>
      <c r="D61" s="10" t="s">
        <v>46</v>
      </c>
      <c r="E61" s="1">
        <v>5</v>
      </c>
      <c r="F61" s="29"/>
      <c r="G61" s="70"/>
      <c r="H61" s="8">
        <f>TB_Vendas[[#This Row],[Preço Unitário]]*TB_Vendas[[#This Row],[Qtd]]</f>
        <v>0</v>
      </c>
      <c r="I61" s="1" t="s">
        <v>130</v>
      </c>
    </row>
    <row r="62" spans="1:9">
      <c r="A62" s="10">
        <f>MONTH(TB_Vendas[[#This Row],[Data]])</f>
        <v>6</v>
      </c>
      <c r="B62" s="10" t="str">
        <f>PROPER(TEXT(DATE(,TB_Vendas[[#This Row],[Nº]],1),"Mmm"))</f>
        <v>Jun</v>
      </c>
      <c r="C62" s="9">
        <v>45105</v>
      </c>
      <c r="D62" s="10" t="s">
        <v>109</v>
      </c>
      <c r="E62" s="1">
        <v>2</v>
      </c>
      <c r="F62" s="29"/>
      <c r="G62" s="70"/>
      <c r="H62" s="8">
        <f>TB_Vendas[[#This Row],[Preço Unitário]]*TB_Vendas[[#This Row],[Qtd]]</f>
        <v>0</v>
      </c>
      <c r="I62" s="1" t="s">
        <v>130</v>
      </c>
    </row>
    <row r="63" spans="1:9">
      <c r="A63" s="10">
        <f>MONTH(TB_Vendas[[#This Row],[Data]])</f>
        <v>6</v>
      </c>
      <c r="B63" s="10" t="str">
        <f>PROPER(TEXT(DATE(,TB_Vendas[[#This Row],[Nº]],1),"Mmm"))</f>
        <v>Jun</v>
      </c>
      <c r="C63" s="9">
        <v>45106</v>
      </c>
      <c r="D63" s="10" t="s">
        <v>40</v>
      </c>
      <c r="E63" s="1">
        <v>3</v>
      </c>
      <c r="F63" s="29"/>
      <c r="G63" s="70"/>
      <c r="H63" s="8">
        <f>TB_Vendas[[#This Row],[Preço Unitário]]*TB_Vendas[[#This Row],[Qtd]]</f>
        <v>0</v>
      </c>
      <c r="I63" s="1" t="s">
        <v>126</v>
      </c>
    </row>
    <row r="64" spans="1:9">
      <c r="A64" s="1">
        <f>MONTH(TB_Vendas[[#This Row],[Data]])</f>
        <v>6</v>
      </c>
      <c r="B64" s="10" t="str">
        <f>PROPER(TEXT(DATE(,TB_Vendas[[#This Row],[Nº]],1),"Mmm"))</f>
        <v>Jun</v>
      </c>
      <c r="C64" s="9">
        <v>45107</v>
      </c>
      <c r="D64" s="10" t="s">
        <v>47</v>
      </c>
      <c r="E64" s="1">
        <v>10</v>
      </c>
      <c r="F64" s="29"/>
      <c r="G64" s="70"/>
      <c r="H64" s="8">
        <f>TB_Vendas[[#This Row],[Preço Unitário]]*TB_Vendas[[#This Row],[Qtd]]</f>
        <v>0</v>
      </c>
      <c r="I64" s="1" t="s">
        <v>126</v>
      </c>
    </row>
    <row r="65" spans="1:9">
      <c r="A65" s="1">
        <f>MONTH(TB_Vendas[[#This Row],[Data]])</f>
        <v>7</v>
      </c>
      <c r="B65" s="10" t="str">
        <f>PROPER(TEXT(DATE(,TB_Vendas[[#This Row],[Nº]],1),"Mmm"))</f>
        <v>Jul</v>
      </c>
      <c r="C65" s="9">
        <v>45112</v>
      </c>
      <c r="D65" s="10" t="s">
        <v>101</v>
      </c>
      <c r="E65" s="1">
        <v>1</v>
      </c>
      <c r="F65" s="29"/>
      <c r="G65" s="70"/>
      <c r="H65" s="8">
        <f>TB_Vendas[[#This Row],[Preço Unitário]]*TB_Vendas[[#This Row],[Qtd]]</f>
        <v>0</v>
      </c>
      <c r="I65" s="1" t="s">
        <v>127</v>
      </c>
    </row>
    <row r="66" spans="1:9">
      <c r="A66" s="1">
        <f>MONTH(TB_Vendas[[#This Row],[Data]])</f>
        <v>7</v>
      </c>
      <c r="B66" s="10" t="str">
        <f>PROPER(TEXT(DATE(,TB_Vendas[[#This Row],[Nº]],1),"Mmm"))</f>
        <v>Jul</v>
      </c>
      <c r="C66" s="9">
        <v>45113</v>
      </c>
      <c r="D66" s="10" t="s">
        <v>52</v>
      </c>
      <c r="E66" s="1">
        <v>4</v>
      </c>
      <c r="F66" s="29"/>
      <c r="G66" s="70"/>
      <c r="H66" s="8">
        <f>TB_Vendas[[#This Row],[Preço Unitário]]*TB_Vendas[[#This Row],[Qtd]]</f>
        <v>0</v>
      </c>
      <c r="I66" s="1" t="s">
        <v>130</v>
      </c>
    </row>
    <row r="67" spans="1:9">
      <c r="A67" s="1">
        <f>MONTH(TB_Vendas[[#This Row],[Data]])</f>
        <v>7</v>
      </c>
      <c r="B67" s="10" t="str">
        <f>PROPER(TEXT(DATE(,TB_Vendas[[#This Row],[Nº]],1),"Mmm"))</f>
        <v>Jul</v>
      </c>
      <c r="C67" s="9">
        <v>45114</v>
      </c>
      <c r="D67" s="10" t="s">
        <v>106</v>
      </c>
      <c r="E67" s="1">
        <v>8</v>
      </c>
      <c r="F67" s="29"/>
      <c r="G67" s="70"/>
      <c r="H67" s="8">
        <f>TB_Vendas[[#This Row],[Preço Unitário]]*TB_Vendas[[#This Row],[Qtd]]</f>
        <v>0</v>
      </c>
      <c r="I67" s="1" t="s">
        <v>126</v>
      </c>
    </row>
    <row r="68" spans="1:9">
      <c r="A68" s="1">
        <f>MONTH(TB_Vendas[[#This Row],[Data]])</f>
        <v>7</v>
      </c>
      <c r="B68" s="10" t="str">
        <f>PROPER(TEXT(DATE(,TB_Vendas[[#This Row],[Nº]],1),"Mmm"))</f>
        <v>Jul</v>
      </c>
      <c r="C68" s="9">
        <v>45119</v>
      </c>
      <c r="D68" s="10" t="s">
        <v>97</v>
      </c>
      <c r="E68" s="1">
        <v>2</v>
      </c>
      <c r="F68" s="29"/>
      <c r="G68" s="70"/>
      <c r="H68" s="8">
        <f>TB_Vendas[[#This Row],[Preço Unitário]]*TB_Vendas[[#This Row],[Qtd]]</f>
        <v>0</v>
      </c>
      <c r="I68" s="1" t="s">
        <v>126</v>
      </c>
    </row>
    <row r="69" spans="1:9">
      <c r="A69" s="1">
        <f>MONTH(TB_Vendas[[#This Row],[Data]])</f>
        <v>7</v>
      </c>
      <c r="B69" s="10" t="str">
        <f>PROPER(TEXT(DATE(,TB_Vendas[[#This Row],[Nº]],1),"Mmm"))</f>
        <v>Jul</v>
      </c>
      <c r="C69" s="9">
        <v>45120</v>
      </c>
      <c r="D69" s="10" t="s">
        <v>45</v>
      </c>
      <c r="E69" s="1">
        <v>2</v>
      </c>
      <c r="F69" s="29"/>
      <c r="G69" s="70"/>
      <c r="H69" s="8">
        <f>TB_Vendas[[#This Row],[Preço Unitário]]*TB_Vendas[[#This Row],[Qtd]]</f>
        <v>0</v>
      </c>
      <c r="I69" s="1" t="s">
        <v>130</v>
      </c>
    </row>
    <row r="70" spans="1:9">
      <c r="A70" s="1">
        <f>MONTH(TB_Vendas[[#This Row],[Data]])</f>
        <v>7</v>
      </c>
      <c r="B70" s="10" t="str">
        <f>PROPER(TEXT(DATE(,TB_Vendas[[#This Row],[Nº]],1),"Mmm"))</f>
        <v>Jul</v>
      </c>
      <c r="C70" s="9">
        <v>45124</v>
      </c>
      <c r="D70" s="10" t="s">
        <v>98</v>
      </c>
      <c r="E70" s="1">
        <v>7</v>
      </c>
      <c r="F70" s="29"/>
      <c r="G70" s="70"/>
      <c r="H70" s="8">
        <f>TB_Vendas[[#This Row],[Preço Unitário]]*TB_Vendas[[#This Row],[Qtd]]</f>
        <v>0</v>
      </c>
      <c r="I70" s="1" t="s">
        <v>129</v>
      </c>
    </row>
    <row r="71" spans="1:9">
      <c r="A71" s="1">
        <f>MONTH(TB_Vendas[[#This Row],[Data]])</f>
        <v>7</v>
      </c>
      <c r="B71" s="10" t="str">
        <f>PROPER(TEXT(DATE(,TB_Vendas[[#This Row],[Nº]],1),"Mmm"))</f>
        <v>Jul</v>
      </c>
      <c r="C71" s="9">
        <v>45130</v>
      </c>
      <c r="D71" s="10" t="s">
        <v>51</v>
      </c>
      <c r="E71" s="1">
        <v>4</v>
      </c>
      <c r="F71" s="29"/>
      <c r="G71" s="70"/>
      <c r="H71" s="8">
        <f>TB_Vendas[[#This Row],[Preço Unitário]]*TB_Vendas[[#This Row],[Qtd]]</f>
        <v>0</v>
      </c>
      <c r="I71" s="1" t="s">
        <v>130</v>
      </c>
    </row>
    <row r="72" spans="1:9">
      <c r="A72" s="1">
        <f>MONTH(TB_Vendas[[#This Row],[Data]])</f>
        <v>7</v>
      </c>
      <c r="B72" s="10" t="str">
        <f>PROPER(TEXT(DATE(,TB_Vendas[[#This Row],[Nº]],1),"Mmm"))</f>
        <v>Jul</v>
      </c>
      <c r="C72" s="9">
        <v>45133</v>
      </c>
      <c r="D72" s="10" t="s">
        <v>55</v>
      </c>
      <c r="E72" s="1">
        <v>3</v>
      </c>
      <c r="F72" s="29"/>
      <c r="G72" s="70"/>
      <c r="H72" s="8">
        <f>TB_Vendas[[#This Row],[Preço Unitário]]*TB_Vendas[[#This Row],[Qtd]]</f>
        <v>0</v>
      </c>
      <c r="I72" s="1" t="s">
        <v>129</v>
      </c>
    </row>
    <row r="73" spans="1:9">
      <c r="A73" s="1">
        <f>MONTH(TB_Vendas[[#This Row],[Data]])</f>
        <v>7</v>
      </c>
      <c r="B73" s="10" t="str">
        <f>PROPER(TEXT(DATE(,TB_Vendas[[#This Row],[Nº]],1),"Mmm"))</f>
        <v>Jul</v>
      </c>
      <c r="C73" s="9">
        <v>45135</v>
      </c>
      <c r="D73" s="10" t="s">
        <v>101</v>
      </c>
      <c r="E73" s="1">
        <v>9</v>
      </c>
      <c r="F73" s="29"/>
      <c r="G73" s="70"/>
      <c r="H73" s="8">
        <f>TB_Vendas[[#This Row],[Preço Unitário]]*TB_Vendas[[#This Row],[Qtd]]</f>
        <v>0</v>
      </c>
      <c r="I73" s="1" t="s">
        <v>128</v>
      </c>
    </row>
    <row r="74" spans="1:9">
      <c r="A74" s="1">
        <f>MONTH(TB_Vendas[[#This Row],[Data]])</f>
        <v>7</v>
      </c>
      <c r="B74" s="10" t="str">
        <f>PROPER(TEXT(DATE(,TB_Vendas[[#This Row],[Nº]],1),"Mmm"))</f>
        <v>Jul</v>
      </c>
      <c r="C74" s="9">
        <v>45136</v>
      </c>
      <c r="D74" s="10" t="s">
        <v>53</v>
      </c>
      <c r="E74" s="1">
        <v>4</v>
      </c>
      <c r="F74" s="29"/>
      <c r="G74" s="70"/>
      <c r="H74" s="8">
        <f>TB_Vendas[[#This Row],[Preço Unitário]]*TB_Vendas[[#This Row],[Qtd]]</f>
        <v>0</v>
      </c>
      <c r="I74" s="1" t="s">
        <v>130</v>
      </c>
    </row>
    <row r="75" spans="1:9">
      <c r="A75" s="1">
        <f>MONTH(TB_Vendas[[#This Row],[Data]])</f>
        <v>7</v>
      </c>
      <c r="B75" s="10" t="str">
        <f>PROPER(TEXT(DATE(,TB_Vendas[[#This Row],[Nº]],1),"Mmm"))</f>
        <v>Jul</v>
      </c>
      <c r="C75" s="9">
        <v>45137</v>
      </c>
      <c r="D75" s="10" t="s">
        <v>32</v>
      </c>
      <c r="E75" s="1">
        <v>9</v>
      </c>
      <c r="F75" s="29"/>
      <c r="G75" s="70"/>
      <c r="H75" s="8">
        <f>TB_Vendas[[#This Row],[Preço Unitário]]*TB_Vendas[[#This Row],[Qtd]]</f>
        <v>0</v>
      </c>
      <c r="I75" s="1" t="s">
        <v>130</v>
      </c>
    </row>
    <row r="76" spans="1:9">
      <c r="A76" s="1">
        <f>MONTH(TB_Vendas[[#This Row],[Data]])</f>
        <v>8</v>
      </c>
      <c r="B76" s="10" t="str">
        <f>PROPER(TEXT(DATE(,TB_Vendas[[#This Row],[Nº]],1),"Mmm"))</f>
        <v>Ago</v>
      </c>
      <c r="C76" s="9">
        <v>45143</v>
      </c>
      <c r="D76" s="10" t="s">
        <v>40</v>
      </c>
      <c r="E76" s="1">
        <v>10</v>
      </c>
      <c r="F76" s="29"/>
      <c r="G76" s="70"/>
      <c r="H76" s="8">
        <f>TB_Vendas[[#This Row],[Preço Unitário]]*TB_Vendas[[#This Row],[Qtd]]</f>
        <v>0</v>
      </c>
      <c r="I76" s="1" t="s">
        <v>130</v>
      </c>
    </row>
    <row r="77" spans="1:9">
      <c r="A77" s="1">
        <f>MONTH(TB_Vendas[[#This Row],[Data]])</f>
        <v>8</v>
      </c>
      <c r="B77" s="10" t="str">
        <f>PROPER(TEXT(DATE(,TB_Vendas[[#This Row],[Nº]],1),"Mmm"))</f>
        <v>Ago</v>
      </c>
      <c r="C77" s="9">
        <v>45144</v>
      </c>
      <c r="D77" s="10" t="s">
        <v>118</v>
      </c>
      <c r="E77" s="1">
        <v>1</v>
      </c>
      <c r="F77" s="29"/>
      <c r="G77" s="70"/>
      <c r="H77" s="8">
        <f>TB_Vendas[[#This Row],[Preço Unitário]]*TB_Vendas[[#This Row],[Qtd]]</f>
        <v>0</v>
      </c>
      <c r="I77" s="1" t="s">
        <v>128</v>
      </c>
    </row>
    <row r="78" spans="1:9">
      <c r="A78" s="1">
        <f>MONTH(TB_Vendas[[#This Row],[Data]])</f>
        <v>8</v>
      </c>
      <c r="B78" s="10" t="str">
        <f>PROPER(TEXT(DATE(,TB_Vendas[[#This Row],[Nº]],1),"Mmm"))</f>
        <v>Ago</v>
      </c>
      <c r="C78" s="9">
        <v>45145</v>
      </c>
      <c r="D78" s="10" t="s">
        <v>111</v>
      </c>
      <c r="E78" s="1">
        <v>2</v>
      </c>
      <c r="F78" s="29"/>
      <c r="G78" s="70"/>
      <c r="H78" s="8">
        <f>TB_Vendas[[#This Row],[Preço Unitário]]*TB_Vendas[[#This Row],[Qtd]]</f>
        <v>0</v>
      </c>
      <c r="I78" s="1" t="s">
        <v>128</v>
      </c>
    </row>
    <row r="79" spans="1:9">
      <c r="A79" s="1">
        <f>MONTH(TB_Vendas[[#This Row],[Data]])</f>
        <v>8</v>
      </c>
      <c r="B79" s="10" t="str">
        <f>PROPER(TEXT(DATE(,TB_Vendas[[#This Row],[Nº]],1),"Mmm"))</f>
        <v>Ago</v>
      </c>
      <c r="C79" s="9">
        <v>45146</v>
      </c>
      <c r="D79" s="10" t="s">
        <v>96</v>
      </c>
      <c r="E79" s="1">
        <v>8</v>
      </c>
      <c r="F79" s="29"/>
      <c r="G79" s="70"/>
      <c r="H79" s="8">
        <f>TB_Vendas[[#This Row],[Preço Unitário]]*TB_Vendas[[#This Row],[Qtd]]</f>
        <v>0</v>
      </c>
      <c r="I79" s="1" t="s">
        <v>127</v>
      </c>
    </row>
    <row r="80" spans="1:9">
      <c r="A80" s="1">
        <f>MONTH(TB_Vendas[[#This Row],[Data]])</f>
        <v>8</v>
      </c>
      <c r="B80" s="10" t="str">
        <f>PROPER(TEXT(DATE(,TB_Vendas[[#This Row],[Nº]],1),"Mmm"))</f>
        <v>Ago</v>
      </c>
      <c r="C80" s="9">
        <v>45147</v>
      </c>
      <c r="D80" s="10" t="s">
        <v>42</v>
      </c>
      <c r="E80" s="1">
        <v>5</v>
      </c>
      <c r="F80" s="29"/>
      <c r="G80" s="70"/>
      <c r="H80" s="8">
        <f>TB_Vendas[[#This Row],[Preço Unitário]]*TB_Vendas[[#This Row],[Qtd]]</f>
        <v>0</v>
      </c>
      <c r="I80" s="1" t="s">
        <v>128</v>
      </c>
    </row>
    <row r="81" spans="1:9">
      <c r="A81" s="1">
        <f>MONTH(TB_Vendas[[#This Row],[Data]])</f>
        <v>8</v>
      </c>
      <c r="B81" s="10" t="str">
        <f>PROPER(TEXT(DATE(,TB_Vendas[[#This Row],[Nº]],1),"Mmm"))</f>
        <v>Ago</v>
      </c>
      <c r="C81" s="9">
        <v>45148</v>
      </c>
      <c r="D81" s="10" t="s">
        <v>105</v>
      </c>
      <c r="E81" s="1">
        <v>10</v>
      </c>
      <c r="F81" s="29"/>
      <c r="G81" s="70"/>
      <c r="H81" s="8">
        <f>TB_Vendas[[#This Row],[Preço Unitário]]*TB_Vendas[[#This Row],[Qtd]]</f>
        <v>0</v>
      </c>
      <c r="I81" s="1" t="s">
        <v>127</v>
      </c>
    </row>
    <row r="82" spans="1:9">
      <c r="A82" s="1">
        <f>MONTH(TB_Vendas[[#This Row],[Data]])</f>
        <v>8</v>
      </c>
      <c r="B82" s="10" t="str">
        <f>PROPER(TEXT(DATE(,TB_Vendas[[#This Row],[Nº]],1),"Mmm"))</f>
        <v>Ago</v>
      </c>
      <c r="C82" s="9">
        <v>45149</v>
      </c>
      <c r="D82" s="10" t="s">
        <v>46</v>
      </c>
      <c r="E82" s="1">
        <v>1</v>
      </c>
      <c r="F82" s="29"/>
      <c r="G82" s="70"/>
      <c r="H82" s="8">
        <f>TB_Vendas[[#This Row],[Preço Unitário]]*TB_Vendas[[#This Row],[Qtd]]</f>
        <v>0</v>
      </c>
      <c r="I82" s="1" t="s">
        <v>128</v>
      </c>
    </row>
    <row r="83" spans="1:9">
      <c r="A83" s="1">
        <f>MONTH(TB_Vendas[[#This Row],[Data]])</f>
        <v>8</v>
      </c>
      <c r="B83" s="10" t="str">
        <f>PROPER(TEXT(DATE(,TB_Vendas[[#This Row],[Nº]],1),"Mmm"))</f>
        <v>Ago</v>
      </c>
      <c r="C83" s="9">
        <v>45150</v>
      </c>
      <c r="D83" s="10" t="s">
        <v>115</v>
      </c>
      <c r="E83" s="1">
        <v>2</v>
      </c>
      <c r="F83" s="29"/>
      <c r="G83" s="70"/>
      <c r="H83" s="8">
        <f>TB_Vendas[[#This Row],[Preço Unitário]]*TB_Vendas[[#This Row],[Qtd]]</f>
        <v>0</v>
      </c>
      <c r="I83" s="1" t="s">
        <v>127</v>
      </c>
    </row>
    <row r="84" spans="1:9">
      <c r="A84" s="1">
        <f>MONTH(TB_Vendas[[#This Row],[Data]])</f>
        <v>8</v>
      </c>
      <c r="B84" s="10" t="str">
        <f>PROPER(TEXT(DATE(,TB_Vendas[[#This Row],[Nº]],1),"Mmm"))</f>
        <v>Ago</v>
      </c>
      <c r="C84" s="9">
        <v>45151</v>
      </c>
      <c r="D84" s="10" t="s">
        <v>60</v>
      </c>
      <c r="E84" s="1">
        <v>3</v>
      </c>
      <c r="F84" s="29"/>
      <c r="G84" s="70"/>
      <c r="H84" s="8">
        <f>TB_Vendas[[#This Row],[Preço Unitário]]*TB_Vendas[[#This Row],[Qtd]]</f>
        <v>0</v>
      </c>
      <c r="I84" s="1" t="s">
        <v>126</v>
      </c>
    </row>
    <row r="85" spans="1:9">
      <c r="A85" s="1">
        <f>MONTH(TB_Vendas[[#This Row],[Data]])</f>
        <v>8</v>
      </c>
      <c r="B85" s="10" t="str">
        <f>PROPER(TEXT(DATE(,TB_Vendas[[#This Row],[Nº]],1),"Mmm"))</f>
        <v>Ago</v>
      </c>
      <c r="C85" s="9">
        <v>45152</v>
      </c>
      <c r="D85" s="10" t="s">
        <v>46</v>
      </c>
      <c r="E85" s="1">
        <v>6</v>
      </c>
      <c r="F85" s="29"/>
      <c r="G85" s="70"/>
      <c r="H85" s="8">
        <f>TB_Vendas[[#This Row],[Preço Unitário]]*TB_Vendas[[#This Row],[Qtd]]</f>
        <v>0</v>
      </c>
      <c r="I85" s="1" t="s">
        <v>129</v>
      </c>
    </row>
    <row r="86" spans="1:9">
      <c r="A86" s="1">
        <f>MONTH(TB_Vendas[[#This Row],[Data]])</f>
        <v>8</v>
      </c>
      <c r="B86" s="10" t="str">
        <f>PROPER(TEXT(DATE(,TB_Vendas[[#This Row],[Nº]],1),"Mmm"))</f>
        <v>Ago</v>
      </c>
      <c r="C86" s="9">
        <v>45153</v>
      </c>
      <c r="D86" s="10" t="s">
        <v>45</v>
      </c>
      <c r="E86" s="1">
        <v>8</v>
      </c>
      <c r="F86" s="29"/>
      <c r="G86" s="70"/>
      <c r="H86" s="8">
        <f>TB_Vendas[[#This Row],[Preço Unitário]]*TB_Vendas[[#This Row],[Qtd]]</f>
        <v>0</v>
      </c>
      <c r="I86" s="1" t="s">
        <v>127</v>
      </c>
    </row>
  </sheetData>
  <phoneticPr fontId="12" type="noConversion"/>
  <conditionalFormatting sqref="E4:G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13"/>
  <sheetViews>
    <sheetView workbookViewId="0">
      <selection activeCell="H12" sqref="H12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40" customFormat="1" ht="40.15" customHeight="1">
      <c r="B1" s="63" t="s">
        <v>136</v>
      </c>
      <c r="C1" s="47"/>
      <c r="D1" s="47"/>
      <c r="E1" s="47"/>
      <c r="F1" s="47"/>
      <c r="G1" s="47"/>
      <c r="H1" s="47"/>
      <c r="I1" s="45"/>
      <c r="J1" s="45"/>
    </row>
    <row r="2" spans="2:10" s="41" customFormat="1" ht="4.5" customHeight="1">
      <c r="B2" s="44"/>
      <c r="C2" s="44"/>
      <c r="D2" s="44"/>
      <c r="E2" s="44"/>
      <c r="F2" s="44"/>
      <c r="G2" s="44"/>
    </row>
    <row r="3" spans="2:10" ht="4.5" customHeight="1" thickBot="1">
      <c r="B3" s="42"/>
      <c r="C3" s="42"/>
      <c r="D3" s="42"/>
      <c r="E3" s="42"/>
      <c r="F3" s="42"/>
      <c r="G3" s="42"/>
    </row>
    <row r="4" spans="2:10" ht="22.5" thickBot="1">
      <c r="B4" s="35" t="s">
        <v>30</v>
      </c>
      <c r="C4" s="38">
        <v>1</v>
      </c>
      <c r="D4" s="39">
        <v>2</v>
      </c>
      <c r="E4" s="38">
        <v>3</v>
      </c>
      <c r="F4" s="39">
        <v>4</v>
      </c>
      <c r="G4" s="38">
        <v>5</v>
      </c>
      <c r="H4" s="39">
        <v>6</v>
      </c>
      <c r="I4" s="38">
        <v>7</v>
      </c>
    </row>
    <row r="5" spans="2:10" s="56" customFormat="1" ht="22.5" thickBot="1">
      <c r="B5" s="54" t="s">
        <v>137</v>
      </c>
      <c r="C5" s="55" t="s">
        <v>138</v>
      </c>
      <c r="D5" s="55" t="s">
        <v>139</v>
      </c>
      <c r="E5" s="55" t="s">
        <v>140</v>
      </c>
      <c r="F5" s="55" t="s">
        <v>141</v>
      </c>
      <c r="G5" s="55" t="s">
        <v>142</v>
      </c>
      <c r="H5" s="55" t="s">
        <v>143</v>
      </c>
      <c r="I5" s="55" t="s">
        <v>144</v>
      </c>
    </row>
    <row r="7" spans="2:10" ht="15.75" thickBot="1"/>
    <row r="8" spans="2:10" ht="44.25" thickBot="1">
      <c r="B8" s="60" t="s">
        <v>153</v>
      </c>
      <c r="C8" s="61" t="s">
        <v>13</v>
      </c>
      <c r="D8" s="61" t="s">
        <v>12</v>
      </c>
      <c r="E8" s="61" t="s">
        <v>14</v>
      </c>
      <c r="G8" s="60" t="s">
        <v>10</v>
      </c>
      <c r="H8" s="60" t="s">
        <v>167</v>
      </c>
    </row>
    <row r="9" spans="2:10" ht="18.75" thickBot="1">
      <c r="B9" s="55">
        <v>1</v>
      </c>
      <c r="C9" s="59">
        <v>0</v>
      </c>
      <c r="D9" s="59">
        <v>0.1</v>
      </c>
      <c r="E9" s="62">
        <v>0</v>
      </c>
      <c r="G9" s="55" t="s">
        <v>168</v>
      </c>
      <c r="H9" s="55">
        <v>5</v>
      </c>
    </row>
    <row r="10" spans="2:10" ht="18.75" thickBot="1">
      <c r="B10" s="55">
        <v>2</v>
      </c>
      <c r="C10" s="59">
        <v>0.05</v>
      </c>
      <c r="D10" s="59">
        <v>0.15</v>
      </c>
      <c r="E10" s="62">
        <v>0.1</v>
      </c>
      <c r="G10" s="55" t="s">
        <v>12</v>
      </c>
      <c r="H10" s="55">
        <v>10</v>
      </c>
    </row>
    <row r="11" spans="2:10" ht="18.75" thickBot="1">
      <c r="B11" s="55">
        <v>3</v>
      </c>
      <c r="C11" s="59">
        <v>0.15</v>
      </c>
      <c r="D11" s="59">
        <v>0.2</v>
      </c>
      <c r="E11" s="62">
        <v>0.15</v>
      </c>
      <c r="G11" s="55" t="s">
        <v>14</v>
      </c>
      <c r="H11" s="55">
        <v>15</v>
      </c>
    </row>
    <row r="12" spans="2:10" ht="18.75" thickBot="1">
      <c r="B12" s="55">
        <v>5</v>
      </c>
      <c r="C12" s="59">
        <v>0.25</v>
      </c>
      <c r="D12" s="59">
        <v>0.25</v>
      </c>
      <c r="E12" s="62">
        <v>0.25</v>
      </c>
      <c r="H12" s="116"/>
    </row>
    <row r="13" spans="2:10" ht="18.75" thickBot="1">
      <c r="B13" s="55">
        <v>10</v>
      </c>
      <c r="C13" s="59">
        <v>0.3</v>
      </c>
      <c r="D13" s="59">
        <v>0.3</v>
      </c>
      <c r="E13" s="62">
        <v>0.3</v>
      </c>
      <c r="G13" s="69"/>
    </row>
  </sheetData>
  <phoneticPr fontId="1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14"/>
  <sheetViews>
    <sheetView zoomScaleNormal="100" workbookViewId="0">
      <selection activeCell="I10" sqref="I10"/>
    </sheetView>
  </sheetViews>
  <sheetFormatPr defaultRowHeight="15"/>
  <cols>
    <col min="1" max="1" width="17.140625" customWidth="1"/>
    <col min="2" max="2" width="20.85546875" customWidth="1"/>
    <col min="3" max="3" width="1.28515625" customWidth="1"/>
    <col min="6" max="6" width="13.5703125" customWidth="1"/>
    <col min="8" max="8" width="1.28515625" customWidth="1"/>
    <col min="9" max="11" width="13" customWidth="1"/>
    <col min="12" max="12" width="15.28515625" customWidth="1"/>
  </cols>
  <sheetData>
    <row r="1" spans="1:12" s="14" customFormat="1">
      <c r="A1" s="15" t="s">
        <v>84</v>
      </c>
      <c r="B1" s="16" t="s">
        <v>85</v>
      </c>
      <c r="D1" s="15" t="s">
        <v>87</v>
      </c>
      <c r="E1" s="19" t="s">
        <v>86</v>
      </c>
      <c r="F1" s="19" t="s">
        <v>16</v>
      </c>
      <c r="G1" s="16" t="s">
        <v>15</v>
      </c>
      <c r="I1" s="22" t="s">
        <v>10</v>
      </c>
      <c r="J1" s="24" t="s">
        <v>95</v>
      </c>
      <c r="K1" s="24" t="s">
        <v>94</v>
      </c>
      <c r="L1" s="23" t="s">
        <v>16</v>
      </c>
    </row>
    <row r="2" spans="1:12">
      <c r="A2" s="3" t="s">
        <v>13</v>
      </c>
      <c r="B2" s="17" t="e">
        <f>SUMIF(#REF!,A2,TB_Vendas[Total])</f>
        <v>#REF!</v>
      </c>
      <c r="D2" s="3">
        <v>1</v>
      </c>
      <c r="E2" s="2" t="s">
        <v>88</v>
      </c>
      <c r="F2" s="6">
        <f>SUMIF(TB_Vendas[Nº],D2,TB_Vendas[Total])</f>
        <v>0</v>
      </c>
      <c r="G2" s="20">
        <f>SUMIF(TB_Vendas[Nº],D2,TB_Vendas[Qtd])</f>
        <v>14</v>
      </c>
      <c r="I2" s="3" t="s">
        <v>72</v>
      </c>
      <c r="J2" s="27" t="e">
        <f>L2/SUM($L$2:$L$4)</f>
        <v>#DIV/0!</v>
      </c>
      <c r="K2" s="25" t="e">
        <f>100%-J2</f>
        <v>#DIV/0!</v>
      </c>
      <c r="L2" s="17">
        <f>SUMIF(TB_Vendas[Vendedor],I2,TB_Vendas[Total])</f>
        <v>0</v>
      </c>
    </row>
    <row r="3" spans="1:12">
      <c r="A3" s="3" t="s">
        <v>71</v>
      </c>
      <c r="B3" s="17" t="e">
        <f>SUMIF(#REF!,A3,TB_Vendas[Total])</f>
        <v>#REF!</v>
      </c>
      <c r="D3" s="3">
        <v>2</v>
      </c>
      <c r="E3" s="2" t="s">
        <v>89</v>
      </c>
      <c r="F3" s="6">
        <f>SUMIF(TB_Vendas[Nº],D3,TB_Vendas[Total])</f>
        <v>0</v>
      </c>
      <c r="G3" s="20">
        <f>SUMIF(TB_Vendas[Nº],D3,TB_Vendas[Qtd])</f>
        <v>15</v>
      </c>
      <c r="I3" s="3" t="s">
        <v>73</v>
      </c>
      <c r="J3" s="27" t="e">
        <f t="shared" ref="J3" si="0">L3/SUM($L$2:$L$4)</f>
        <v>#DIV/0!</v>
      </c>
      <c r="K3" s="25" t="e">
        <f t="shared" ref="K3:K4" si="1">100%-J3</f>
        <v>#DIV/0!</v>
      </c>
      <c r="L3" s="17">
        <f>SUMIF(TB_Vendas[Vendedor],I3,TB_Vendas[Total])</f>
        <v>0</v>
      </c>
    </row>
    <row r="4" spans="1:12" ht="15.75" thickBot="1">
      <c r="A4" s="4" t="s">
        <v>12</v>
      </c>
      <c r="B4" s="18" t="e">
        <f>SUMIF(#REF!,A4,TB_Vendas[Total])</f>
        <v>#REF!</v>
      </c>
      <c r="D4" s="3">
        <v>3</v>
      </c>
      <c r="E4" s="2" t="s">
        <v>90</v>
      </c>
      <c r="F4" s="6">
        <f>SUMIF(TB_Vendas[Nº],D4,TB_Vendas[Total])</f>
        <v>0</v>
      </c>
      <c r="G4" s="20">
        <f>SUMIF(TB_Vendas[Nº],D4,TB_Vendas[Qtd])</f>
        <v>26</v>
      </c>
      <c r="I4" s="4" t="s">
        <v>75</v>
      </c>
      <c r="J4" s="28" t="e">
        <f>L4/SUM($L$2:$L$4)</f>
        <v>#DIV/0!</v>
      </c>
      <c r="K4" s="26" t="e">
        <f t="shared" si="1"/>
        <v>#DIV/0!</v>
      </c>
      <c r="L4" s="18">
        <f>SUMIF(TB_Vendas[Vendedor],I4,TB_Vendas[Total])</f>
        <v>0</v>
      </c>
    </row>
    <row r="5" spans="1:12">
      <c r="D5" s="3">
        <v>4</v>
      </c>
      <c r="E5" s="2" t="s">
        <v>91</v>
      </c>
      <c r="F5" s="6">
        <f>SUMIF(TB_Vendas[Nº],D5,TB_Vendas[Total])</f>
        <v>0</v>
      </c>
      <c r="G5" s="20">
        <f>SUMIF(TB_Vendas[Nº],D5,TB_Vendas[Qtd])</f>
        <v>28</v>
      </c>
    </row>
    <row r="6" spans="1:12">
      <c r="D6" s="3">
        <v>5</v>
      </c>
      <c r="E6" s="2" t="s">
        <v>92</v>
      </c>
      <c r="F6" s="6">
        <f>SUMIF(TB_Vendas[Nº],D6,TB_Vendas[Total])</f>
        <v>0</v>
      </c>
      <c r="G6" s="20">
        <f>SUMIF(TB_Vendas[Nº],D6,TB_Vendas[Qtd])</f>
        <v>17</v>
      </c>
    </row>
    <row r="7" spans="1:12" ht="15.75" thickBot="1">
      <c r="D7" s="4">
        <v>6</v>
      </c>
      <c r="E7" s="5" t="s">
        <v>93</v>
      </c>
      <c r="F7" s="7">
        <f>SUMIF(TB_Vendas[Nº],D7,TB_Vendas[Total])</f>
        <v>0</v>
      </c>
      <c r="G7" s="21">
        <f>SUMIF(TB_Vendas[Nº],D7,TB_Vendas[Qtd])</f>
        <v>41</v>
      </c>
    </row>
    <row r="11" spans="1:12">
      <c r="I11" s="30"/>
      <c r="J11" s="30"/>
      <c r="K11" s="30"/>
      <c r="L11" s="30"/>
    </row>
    <row r="12" spans="1:12">
      <c r="J12" s="31"/>
      <c r="K12" s="32"/>
      <c r="L12" s="8"/>
    </row>
    <row r="13" spans="1:12">
      <c r="J13" s="31"/>
      <c r="K13" s="32"/>
      <c r="L13" s="8"/>
    </row>
    <row r="14" spans="1:12">
      <c r="J14" s="31"/>
      <c r="K14" s="32"/>
      <c r="L14" s="8"/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W2" sqref="W2:AN3"/>
    </sheetView>
  </sheetViews>
  <sheetFormatPr defaultColWidth="2" defaultRowHeight="9.75" customHeight="1"/>
  <cols>
    <col min="1" max="16384" width="2" style="12"/>
  </cols>
  <sheetData>
    <row r="1" spans="3:80" ht="9.75" customHeight="1" thickBot="1"/>
    <row r="2" spans="3:80" ht="9.75" customHeight="1">
      <c r="W2" s="83" t="s">
        <v>78</v>
      </c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5"/>
      <c r="AQ2" s="83" t="s">
        <v>79</v>
      </c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5"/>
      <c r="BK2" s="83" t="s">
        <v>80</v>
      </c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5"/>
    </row>
    <row r="3" spans="3:80" ht="9.75" customHeight="1" thickBot="1"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8"/>
      <c r="AQ3" s="86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8"/>
      <c r="BK3" s="86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8"/>
    </row>
    <row r="4" spans="3:80" ht="9.75" customHeight="1">
      <c r="W4" s="98">
        <f>COUNTA(TB_Produtos[Código])</f>
        <v>60</v>
      </c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100"/>
      <c r="AQ4" s="98">
        <f>SUM(TB_Vendas[Qtd])</f>
        <v>250</v>
      </c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100"/>
      <c r="BK4" s="107">
        <f>SUM(TB_Vendas[Total])</f>
        <v>0</v>
      </c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9"/>
    </row>
    <row r="5" spans="3:80" ht="9.75" customHeight="1">
      <c r="W5" s="101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  <c r="AQ5" s="101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3"/>
      <c r="BK5" s="110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  <c r="BY5" s="111"/>
      <c r="BZ5" s="111"/>
      <c r="CA5" s="111"/>
      <c r="CB5" s="112"/>
    </row>
    <row r="6" spans="3:80" ht="9.75" customHeight="1">
      <c r="W6" s="101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3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3"/>
      <c r="BK6" s="110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2"/>
    </row>
    <row r="7" spans="3:80" ht="9.75" customHeight="1" thickBot="1">
      <c r="W7" s="104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  <c r="AQ7" s="104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6"/>
      <c r="BK7" s="113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5"/>
    </row>
    <row r="8" spans="3:80" ht="9.75" customHeight="1" thickBot="1"/>
    <row r="9" spans="3:80" ht="9.75" customHeight="1">
      <c r="C9" s="83" t="s">
        <v>81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5"/>
    </row>
    <row r="10" spans="3:80" ht="9.75" customHeight="1" thickBot="1">
      <c r="C10" s="86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8"/>
    </row>
    <row r="11" spans="3:80" ht="9.75" customHeight="1">
      <c r="C11" s="89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1"/>
    </row>
    <row r="12" spans="3:80" ht="9.75" customHeight="1">
      <c r="C12" s="92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4"/>
    </row>
    <row r="13" spans="3:80" ht="9.75" customHeight="1">
      <c r="C13" s="92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4"/>
    </row>
    <row r="14" spans="3:80" ht="9.75" customHeight="1">
      <c r="C14" s="92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4"/>
    </row>
    <row r="15" spans="3:80" ht="9.75" customHeight="1">
      <c r="C15" s="92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4"/>
    </row>
    <row r="16" spans="3:80" ht="9.75" customHeight="1">
      <c r="C16" s="92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4"/>
    </row>
    <row r="17" spans="3:80" ht="9.75" customHeight="1">
      <c r="C17" s="92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4"/>
    </row>
    <row r="18" spans="3:80" ht="9.75" customHeight="1">
      <c r="C18" s="92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4"/>
    </row>
    <row r="19" spans="3:80" ht="9.75" customHeight="1">
      <c r="C19" s="92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4"/>
    </row>
    <row r="20" spans="3:80" ht="9.75" customHeight="1">
      <c r="C20" s="92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4"/>
    </row>
    <row r="21" spans="3:80" ht="9.75" customHeight="1">
      <c r="C21" s="92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4"/>
    </row>
    <row r="22" spans="3:80" ht="9.75" customHeight="1">
      <c r="C22" s="92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4"/>
    </row>
    <row r="23" spans="3:80" ht="9.75" customHeight="1">
      <c r="C23" s="92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4"/>
    </row>
    <row r="24" spans="3:80" ht="9.75" customHeight="1" thickBot="1">
      <c r="C24" s="95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7"/>
    </row>
    <row r="25" spans="3:80" ht="9.75" customHeight="1" thickBot="1"/>
    <row r="26" spans="3:80" ht="9.75" customHeight="1">
      <c r="C26" s="83" t="s">
        <v>82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5"/>
      <c r="AO26" s="13"/>
      <c r="AP26" s="13"/>
      <c r="AQ26" s="83" t="s">
        <v>83</v>
      </c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5"/>
    </row>
    <row r="27" spans="3:80" ht="9.75" customHeight="1" thickBot="1">
      <c r="C27" s="86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8"/>
      <c r="AO27" s="13"/>
      <c r="AP27" s="13"/>
      <c r="AQ27" s="86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8"/>
    </row>
    <row r="28" spans="3:80" ht="9.75" customHeight="1">
      <c r="C28" s="89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1"/>
      <c r="AQ28" s="89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1"/>
    </row>
    <row r="29" spans="3:80" ht="9.75" customHeight="1">
      <c r="C29" s="92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Q29" s="92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4"/>
    </row>
    <row r="30" spans="3:80" ht="9.75" customHeight="1">
      <c r="C30" s="92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Q30" s="92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4"/>
    </row>
    <row r="31" spans="3:80" ht="9.75" customHeight="1">
      <c r="C31" s="92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Q31" s="92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4"/>
    </row>
    <row r="32" spans="3:80" ht="9.75" customHeight="1">
      <c r="C32" s="92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Q32" s="92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4"/>
    </row>
    <row r="33" spans="3:80" ht="9.75" customHeight="1">
      <c r="C33" s="92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Q33" s="92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4"/>
    </row>
    <row r="34" spans="3:80" ht="9.75" customHeight="1">
      <c r="C34" s="92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Q34" s="92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4"/>
    </row>
    <row r="35" spans="3:80" ht="9.75" customHeight="1">
      <c r="C35" s="92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Q35" s="92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4"/>
    </row>
    <row r="36" spans="3:80" ht="9.75" customHeight="1">
      <c r="C36" s="92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Q36" s="92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4"/>
    </row>
    <row r="37" spans="3:80" ht="9.75" customHeight="1">
      <c r="C37" s="92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Q37" s="92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4"/>
    </row>
    <row r="38" spans="3:80" ht="9.75" customHeight="1">
      <c r="C38" s="92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Q38" s="92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4"/>
    </row>
    <row r="39" spans="3:80" ht="9.75" customHeight="1">
      <c r="C39" s="92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Q39" s="92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4"/>
    </row>
    <row r="40" spans="3:80" ht="9.75" customHeight="1">
      <c r="C40" s="92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Q40" s="92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4"/>
    </row>
    <row r="41" spans="3:80" ht="9.75" customHeight="1">
      <c r="C41" s="92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Q41" s="92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4"/>
    </row>
    <row r="42" spans="3:80" ht="9.75" customHeight="1">
      <c r="C42" s="92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Q42" s="92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4"/>
    </row>
    <row r="43" spans="3:80" ht="9.75" customHeight="1"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Q43" s="92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4"/>
    </row>
    <row r="44" spans="3:80" ht="9.75" customHeight="1">
      <c r="C44" s="92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Q44" s="92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4"/>
    </row>
    <row r="45" spans="3:80" ht="9.75" customHeight="1">
      <c r="C45" s="92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Q45" s="92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4"/>
    </row>
    <row r="46" spans="3:80" ht="9.75" customHeight="1" thickBot="1">
      <c r="C46" s="95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7"/>
      <c r="AQ46" s="95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96"/>
      <c r="BY46" s="96"/>
      <c r="BZ46" s="96"/>
      <c r="CA46" s="96"/>
      <c r="CB46" s="97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Menu</vt:lpstr>
      <vt:lpstr>Produtos</vt:lpstr>
      <vt:lpstr>Vendedores</vt:lpstr>
      <vt:lpstr>Consultas</vt:lpstr>
      <vt:lpstr>Vendas</vt:lpstr>
      <vt:lpstr>Cadastros Auxiliares</vt:lpstr>
      <vt:lpstr>Dados para Gráficos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2026-06-02T03:35:41Z</dcterms:modified>
</cp:coreProperties>
</file>