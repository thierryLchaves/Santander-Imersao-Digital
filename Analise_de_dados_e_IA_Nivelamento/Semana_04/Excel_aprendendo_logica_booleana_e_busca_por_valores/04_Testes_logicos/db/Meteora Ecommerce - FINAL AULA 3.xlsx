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4\Excel_aprendendo_logica_booleana_e_busca_por_valores\04_Testes_logicos\db\"/>
    </mc:Choice>
  </mc:AlternateContent>
  <xr:revisionPtr revIDLastSave="0" documentId="13_ncr:1_{B727628D-3E46-4A1B-8C45-9CB69B61E677}" xr6:coauthVersionLast="47" xr6:coauthVersionMax="47" xr10:uidLastSave="{00000000-0000-0000-0000-000000000000}"/>
  <bookViews>
    <workbookView xWindow="-28920" yWindow="-120" windowWidth="29040" windowHeight="15720" tabRatio="698" activeTab="2" xr2:uid="{F6D97A53-F63B-4272-A181-44B26E0B790F}"/>
  </bookViews>
  <sheets>
    <sheet name="Menu" sheetId="25" r:id="rId1"/>
    <sheet name="Produtos" sheetId="17" r:id="rId2"/>
    <sheet name="Vendas" sheetId="16" r:id="rId3"/>
    <sheet name="Vendedores" sheetId="28" r:id="rId4"/>
    <sheet name="Consultas" sheetId="24" r:id="rId5"/>
    <sheet name="Cadastros Auxiliares" sheetId="23" r:id="rId6"/>
    <sheet name="Dados para Gráficos" sheetId="19" state="hidden" r:id="rId7"/>
    <sheet name="Dashboard" sheetId="18" state="hidden" r:id="rId8"/>
  </sheets>
  <definedNames>
    <definedName name="_xlnm._FilterDatabase" localSheetId="2" hidden="1">Vendas!$C$4:$F$86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6" l="1" a="1"/>
  <c r="I5" i="16" s="1"/>
  <c r="I6" i="16" a="1"/>
  <c r="I6" i="16" s="1"/>
  <c r="I7" i="16" a="1"/>
  <c r="I7" i="16"/>
  <c r="I8" i="16" a="1"/>
  <c r="I8" i="16"/>
  <c r="I9" i="16" a="1"/>
  <c r="I9" i="16" s="1"/>
  <c r="I10" i="16" a="1"/>
  <c r="I10" i="16" s="1"/>
  <c r="I11" i="16" a="1"/>
  <c r="I11" i="16"/>
  <c r="I12" i="16" a="1"/>
  <c r="I12" i="16"/>
  <c r="I13" i="16" a="1"/>
  <c r="I13" i="16" s="1"/>
  <c r="I14" i="16" a="1"/>
  <c r="I14" i="16" s="1"/>
  <c r="I15" i="16" a="1"/>
  <c r="I15" i="16"/>
  <c r="I16" i="16" a="1"/>
  <c r="I16" i="16"/>
  <c r="I17" i="16" a="1"/>
  <c r="I17" i="16" s="1"/>
  <c r="I18" i="16" a="1"/>
  <c r="I18" i="16" s="1"/>
  <c r="I19" i="16" a="1"/>
  <c r="I19" i="16"/>
  <c r="I20" i="16" a="1"/>
  <c r="I20" i="16"/>
  <c r="I21" i="16" a="1"/>
  <c r="I21" i="16" s="1"/>
  <c r="I22" i="16" a="1"/>
  <c r="I22" i="16" s="1"/>
  <c r="I23" i="16" a="1"/>
  <c r="I23" i="16"/>
  <c r="I24" i="16" a="1"/>
  <c r="I24" i="16"/>
  <c r="I25" i="16" a="1"/>
  <c r="I25" i="16" s="1"/>
  <c r="I26" i="16" a="1"/>
  <c r="I26" i="16" s="1"/>
  <c r="I27" i="16" a="1"/>
  <c r="I27" i="16"/>
  <c r="I28" i="16" a="1"/>
  <c r="I28" i="16"/>
  <c r="I29" i="16" a="1"/>
  <c r="I29" i="16" s="1"/>
  <c r="I30" i="16" a="1"/>
  <c r="I30" i="16" s="1"/>
  <c r="I31" i="16" a="1"/>
  <c r="I31" i="16"/>
  <c r="I32" i="16" a="1"/>
  <c r="I32" i="16"/>
  <c r="I33" i="16" a="1"/>
  <c r="I33" i="16" s="1"/>
  <c r="I34" i="16" a="1"/>
  <c r="I34" i="16" s="1"/>
  <c r="I35" i="16" a="1"/>
  <c r="I35" i="16"/>
  <c r="I36" i="16" a="1"/>
  <c r="I36" i="16"/>
  <c r="I37" i="16" a="1"/>
  <c r="I37" i="16" s="1"/>
  <c r="I38" i="16" a="1"/>
  <c r="I38" i="16" s="1"/>
  <c r="I39" i="16" a="1"/>
  <c r="I39" i="16"/>
  <c r="I40" i="16" a="1"/>
  <c r="I40" i="16"/>
  <c r="I41" i="16" a="1"/>
  <c r="I41" i="16" s="1"/>
  <c r="I42" i="16" a="1"/>
  <c r="I42" i="16" s="1"/>
  <c r="I43" i="16" a="1"/>
  <c r="I43" i="16"/>
  <c r="I44" i="16" a="1"/>
  <c r="I44" i="16"/>
  <c r="I45" i="16" a="1"/>
  <c r="I45" i="16" s="1"/>
  <c r="I46" i="16" a="1"/>
  <c r="I46" i="16" s="1"/>
  <c r="I47" i="16" a="1"/>
  <c r="I47" i="16"/>
  <c r="I48" i="16" a="1"/>
  <c r="I48" i="16"/>
  <c r="I49" i="16" a="1"/>
  <c r="I49" i="16" s="1"/>
  <c r="I50" i="16" a="1"/>
  <c r="I50" i="16" s="1"/>
  <c r="I51" i="16" a="1"/>
  <c r="I51" i="16"/>
  <c r="I52" i="16" a="1"/>
  <c r="I52" i="16"/>
  <c r="I53" i="16" a="1"/>
  <c r="I53" i="16" s="1"/>
  <c r="I54" i="16" a="1"/>
  <c r="I54" i="16" s="1"/>
  <c r="I55" i="16" a="1"/>
  <c r="I55" i="16"/>
  <c r="I56" i="16" a="1"/>
  <c r="I56" i="16"/>
  <c r="I57" i="16" a="1"/>
  <c r="I57" i="16" s="1"/>
  <c r="I58" i="16" a="1"/>
  <c r="I58" i="16" s="1"/>
  <c r="I59" i="16" a="1"/>
  <c r="I59" i="16"/>
  <c r="I60" i="16" a="1"/>
  <c r="I60" i="16"/>
  <c r="I61" i="16" a="1"/>
  <c r="I61" i="16" s="1"/>
  <c r="I62" i="16" a="1"/>
  <c r="I62" i="16" s="1"/>
  <c r="I63" i="16" a="1"/>
  <c r="I63" i="16"/>
  <c r="I64" i="16" a="1"/>
  <c r="I64" i="16"/>
  <c r="I65" i="16" a="1"/>
  <c r="I65" i="16" s="1"/>
  <c r="I66" i="16" a="1"/>
  <c r="I66" i="16" s="1"/>
  <c r="I67" i="16" a="1"/>
  <c r="I67" i="16"/>
  <c r="I68" i="16" a="1"/>
  <c r="I68" i="16"/>
  <c r="I69" i="16" a="1"/>
  <c r="I69" i="16" s="1"/>
  <c r="I70" i="16" a="1"/>
  <c r="I70" i="16" s="1"/>
  <c r="I71" i="16" a="1"/>
  <c r="I71" i="16"/>
  <c r="I72" i="16" a="1"/>
  <c r="I72" i="16"/>
  <c r="I73" i="16" a="1"/>
  <c r="I73" i="16" s="1"/>
  <c r="I74" i="16" a="1"/>
  <c r="I74" i="16" s="1"/>
  <c r="I75" i="16" a="1"/>
  <c r="I75" i="16"/>
  <c r="I76" i="16" a="1"/>
  <c r="I76" i="16"/>
  <c r="I77" i="16" a="1"/>
  <c r="I77" i="16" s="1"/>
  <c r="I78" i="16" a="1"/>
  <c r="I78" i="16" s="1"/>
  <c r="I79" i="16" a="1"/>
  <c r="I79" i="16"/>
  <c r="I80" i="16" a="1"/>
  <c r="I80" i="16"/>
  <c r="I81" i="16" a="1"/>
  <c r="I81" i="16" s="1"/>
  <c r="I82" i="16" a="1"/>
  <c r="I82" i="16" s="1"/>
  <c r="I83" i="16" a="1"/>
  <c r="I83" i="16"/>
  <c r="I84" i="16" a="1"/>
  <c r="I84" i="16"/>
  <c r="I85" i="16" a="1"/>
  <c r="I85" i="16" s="1"/>
  <c r="I86" i="16" a="1"/>
  <c r="I86" i="16" s="1"/>
  <c r="J6" i="16"/>
  <c r="J7" i="16"/>
  <c r="J8" i="16"/>
  <c r="J14" i="16"/>
  <c r="J15" i="16"/>
  <c r="J16" i="16"/>
  <c r="J22" i="16"/>
  <c r="J23" i="16"/>
  <c r="J24" i="16"/>
  <c r="J30" i="16"/>
  <c r="J31" i="16"/>
  <c r="J32" i="16"/>
  <c r="J38" i="16"/>
  <c r="J39" i="16"/>
  <c r="J40" i="16"/>
  <c r="J46" i="16"/>
  <c r="J47" i="16"/>
  <c r="J48" i="16"/>
  <c r="J54" i="16"/>
  <c r="J55" i="16"/>
  <c r="J56" i="16"/>
  <c r="J62" i="16"/>
  <c r="J63" i="16"/>
  <c r="J64" i="16"/>
  <c r="J70" i="16"/>
  <c r="J71" i="16"/>
  <c r="J72" i="16"/>
  <c r="J78" i="16"/>
  <c r="J79" i="16"/>
  <c r="J80" i="16"/>
  <c r="J86" i="16"/>
  <c r="H5" i="16"/>
  <c r="J5" i="16" s="1"/>
  <c r="H6" i="16"/>
  <c r="H7" i="16"/>
  <c r="H8" i="16"/>
  <c r="H12" i="16"/>
  <c r="J12" i="16" s="1"/>
  <c r="H13" i="16"/>
  <c r="J13" i="16" s="1"/>
  <c r="H14" i="16"/>
  <c r="H15" i="16"/>
  <c r="H16" i="16"/>
  <c r="H20" i="16"/>
  <c r="J20" i="16" s="1"/>
  <c r="H21" i="16"/>
  <c r="J21" i="16" s="1"/>
  <c r="H22" i="16"/>
  <c r="H23" i="16"/>
  <c r="H24" i="16"/>
  <c r="H28" i="16"/>
  <c r="J28" i="16" s="1"/>
  <c r="H29" i="16"/>
  <c r="J29" i="16" s="1"/>
  <c r="H30" i="16"/>
  <c r="H31" i="16"/>
  <c r="H32" i="16"/>
  <c r="H36" i="16"/>
  <c r="J36" i="16" s="1"/>
  <c r="H37" i="16"/>
  <c r="J37" i="16" s="1"/>
  <c r="H38" i="16"/>
  <c r="H39" i="16"/>
  <c r="H40" i="16"/>
  <c r="H44" i="16"/>
  <c r="J44" i="16" s="1"/>
  <c r="H45" i="16"/>
  <c r="J45" i="16" s="1"/>
  <c r="H46" i="16"/>
  <c r="H47" i="16"/>
  <c r="H48" i="16"/>
  <c r="H52" i="16"/>
  <c r="J52" i="16" s="1"/>
  <c r="H53" i="16"/>
  <c r="J53" i="16" s="1"/>
  <c r="H54" i="16"/>
  <c r="H55" i="16"/>
  <c r="H56" i="16"/>
  <c r="H60" i="16"/>
  <c r="J60" i="16" s="1"/>
  <c r="H61" i="16"/>
  <c r="J61" i="16" s="1"/>
  <c r="H62" i="16"/>
  <c r="H63" i="16"/>
  <c r="H64" i="16"/>
  <c r="H68" i="16"/>
  <c r="J68" i="16" s="1"/>
  <c r="H69" i="16"/>
  <c r="J69" i="16" s="1"/>
  <c r="H70" i="16"/>
  <c r="H71" i="16"/>
  <c r="H72" i="16"/>
  <c r="H76" i="16"/>
  <c r="J76" i="16" s="1"/>
  <c r="H77" i="16"/>
  <c r="J77" i="16" s="1"/>
  <c r="H78" i="16"/>
  <c r="H79" i="16"/>
  <c r="H80" i="16"/>
  <c r="H84" i="16"/>
  <c r="J84" i="16" s="1"/>
  <c r="H85" i="16"/>
  <c r="J85" i="16" s="1"/>
  <c r="H86" i="16"/>
  <c r="E5" i="16"/>
  <c r="E6" i="16"/>
  <c r="E7" i="16"/>
  <c r="E8" i="16"/>
  <c r="E9" i="16"/>
  <c r="H9" i="16" s="1"/>
  <c r="J9" i="16" s="1"/>
  <c r="E10" i="16"/>
  <c r="H10" i="16" s="1"/>
  <c r="J10" i="16" s="1"/>
  <c r="E11" i="16"/>
  <c r="H11" i="16" s="1"/>
  <c r="J11" i="16" s="1"/>
  <c r="E12" i="16"/>
  <c r="E13" i="16"/>
  <c r="E14" i="16"/>
  <c r="E15" i="16"/>
  <c r="E16" i="16"/>
  <c r="E17" i="16"/>
  <c r="H17" i="16" s="1"/>
  <c r="J17" i="16" s="1"/>
  <c r="E18" i="16"/>
  <c r="H18" i="16" s="1"/>
  <c r="J18" i="16" s="1"/>
  <c r="E19" i="16"/>
  <c r="H19" i="16" s="1"/>
  <c r="J19" i="16" s="1"/>
  <c r="E20" i="16"/>
  <c r="E21" i="16"/>
  <c r="E22" i="16"/>
  <c r="E23" i="16"/>
  <c r="E24" i="16"/>
  <c r="E25" i="16"/>
  <c r="H25" i="16" s="1"/>
  <c r="J25" i="16" s="1"/>
  <c r="E26" i="16"/>
  <c r="H26" i="16" s="1"/>
  <c r="J26" i="16" s="1"/>
  <c r="E27" i="16"/>
  <c r="H27" i="16" s="1"/>
  <c r="J27" i="16" s="1"/>
  <c r="E28" i="16"/>
  <c r="E29" i="16"/>
  <c r="E30" i="16"/>
  <c r="E31" i="16"/>
  <c r="E32" i="16"/>
  <c r="E33" i="16"/>
  <c r="H33" i="16" s="1"/>
  <c r="J33" i="16" s="1"/>
  <c r="E34" i="16"/>
  <c r="H34" i="16" s="1"/>
  <c r="J34" i="16" s="1"/>
  <c r="E35" i="16"/>
  <c r="H35" i="16" s="1"/>
  <c r="J35" i="16" s="1"/>
  <c r="E36" i="16"/>
  <c r="E37" i="16"/>
  <c r="E38" i="16"/>
  <c r="E39" i="16"/>
  <c r="E40" i="16"/>
  <c r="E41" i="16"/>
  <c r="H41" i="16" s="1"/>
  <c r="J41" i="16" s="1"/>
  <c r="E42" i="16"/>
  <c r="H42" i="16" s="1"/>
  <c r="J42" i="16" s="1"/>
  <c r="E43" i="16"/>
  <c r="H43" i="16" s="1"/>
  <c r="J43" i="16" s="1"/>
  <c r="E44" i="16"/>
  <c r="E45" i="16"/>
  <c r="E46" i="16"/>
  <c r="E47" i="16"/>
  <c r="E48" i="16"/>
  <c r="E49" i="16"/>
  <c r="H49" i="16" s="1"/>
  <c r="J49" i="16" s="1"/>
  <c r="E50" i="16"/>
  <c r="H50" i="16" s="1"/>
  <c r="J50" i="16" s="1"/>
  <c r="E51" i="16"/>
  <c r="H51" i="16" s="1"/>
  <c r="J51" i="16" s="1"/>
  <c r="E52" i="16"/>
  <c r="E53" i="16"/>
  <c r="E54" i="16"/>
  <c r="E55" i="16"/>
  <c r="E56" i="16"/>
  <c r="E57" i="16"/>
  <c r="H57" i="16" s="1"/>
  <c r="J57" i="16" s="1"/>
  <c r="E58" i="16"/>
  <c r="H58" i="16" s="1"/>
  <c r="J58" i="16" s="1"/>
  <c r="E59" i="16"/>
  <c r="H59" i="16" s="1"/>
  <c r="J59" i="16" s="1"/>
  <c r="E60" i="16"/>
  <c r="E61" i="16"/>
  <c r="E62" i="16"/>
  <c r="E63" i="16"/>
  <c r="E64" i="16"/>
  <c r="E65" i="16"/>
  <c r="H65" i="16" s="1"/>
  <c r="J65" i="16" s="1"/>
  <c r="E66" i="16"/>
  <c r="H66" i="16" s="1"/>
  <c r="J66" i="16" s="1"/>
  <c r="E67" i="16"/>
  <c r="H67" i="16" s="1"/>
  <c r="J67" i="16" s="1"/>
  <c r="E68" i="16"/>
  <c r="E69" i="16"/>
  <c r="E70" i="16"/>
  <c r="E71" i="16"/>
  <c r="E72" i="16"/>
  <c r="E73" i="16"/>
  <c r="H73" i="16" s="1"/>
  <c r="J73" i="16" s="1"/>
  <c r="E74" i="16"/>
  <c r="H74" i="16" s="1"/>
  <c r="J74" i="16" s="1"/>
  <c r="E75" i="16"/>
  <c r="H75" i="16" s="1"/>
  <c r="J75" i="16" s="1"/>
  <c r="E76" i="16"/>
  <c r="E77" i="16"/>
  <c r="E78" i="16"/>
  <c r="E79" i="16"/>
  <c r="E80" i="16"/>
  <c r="E81" i="16"/>
  <c r="H81" i="16" s="1"/>
  <c r="J81" i="16" s="1"/>
  <c r="E82" i="16"/>
  <c r="H82" i="16" s="1"/>
  <c r="J82" i="16" s="1"/>
  <c r="E83" i="16"/>
  <c r="H83" i="16" s="1"/>
  <c r="J83" i="16" s="1"/>
  <c r="E84" i="16"/>
  <c r="E85" i="16"/>
  <c r="E86" i="16"/>
  <c r="K5" i="16" a="1"/>
  <c r="K5" i="16" s="1"/>
  <c r="K6" i="16" a="1"/>
  <c r="K6" i="16" s="1"/>
  <c r="K7" i="16" a="1"/>
  <c r="K7" i="16" s="1"/>
  <c r="K8" i="16" a="1"/>
  <c r="K8" i="16" s="1"/>
  <c r="K9" i="16" a="1"/>
  <c r="K9" i="16" s="1"/>
  <c r="K10" i="16" a="1"/>
  <c r="K10" i="16" s="1"/>
  <c r="K11" i="16" a="1"/>
  <c r="K11" i="16" s="1"/>
  <c r="K12" i="16" a="1"/>
  <c r="K12" i="16" s="1"/>
  <c r="K13" i="16" a="1"/>
  <c r="K13" i="16" s="1"/>
  <c r="K14" i="16" a="1"/>
  <c r="K14" i="16" s="1"/>
  <c r="K15" i="16" a="1"/>
  <c r="K15" i="16" s="1"/>
  <c r="K16" i="16" a="1"/>
  <c r="K16" i="16" s="1"/>
  <c r="K17" i="16" a="1"/>
  <c r="K17" i="16" s="1"/>
  <c r="K18" i="16" a="1"/>
  <c r="K18" i="16" s="1"/>
  <c r="K19" i="16" a="1"/>
  <c r="K19" i="16" s="1"/>
  <c r="K20" i="16" a="1"/>
  <c r="K20" i="16" s="1"/>
  <c r="K21" i="16" a="1"/>
  <c r="K21" i="16" s="1"/>
  <c r="K22" i="16" a="1"/>
  <c r="K22" i="16" s="1"/>
  <c r="K23" i="16" a="1"/>
  <c r="K23" i="16" s="1"/>
  <c r="K24" i="16" a="1"/>
  <c r="K24" i="16" s="1"/>
  <c r="K25" i="16" a="1"/>
  <c r="K25" i="16" s="1"/>
  <c r="K26" i="16" a="1"/>
  <c r="K26" i="16" s="1"/>
  <c r="K27" i="16" a="1"/>
  <c r="K27" i="16" s="1"/>
  <c r="K28" i="16" a="1"/>
  <c r="K28" i="16" s="1"/>
  <c r="K29" i="16" a="1"/>
  <c r="K29" i="16" s="1"/>
  <c r="K30" i="16" a="1"/>
  <c r="K30" i="16" s="1"/>
  <c r="K31" i="16" a="1"/>
  <c r="K31" i="16" s="1"/>
  <c r="K32" i="16" a="1"/>
  <c r="K32" i="16" s="1"/>
  <c r="K33" i="16" a="1"/>
  <c r="K33" i="16" s="1"/>
  <c r="K34" i="16" a="1"/>
  <c r="K34" i="16" s="1"/>
  <c r="K35" i="16" a="1"/>
  <c r="K35" i="16" s="1"/>
  <c r="K36" i="16" a="1"/>
  <c r="K36" i="16" s="1"/>
  <c r="K37" i="16" a="1"/>
  <c r="K37" i="16" s="1"/>
  <c r="K38" i="16" a="1"/>
  <c r="K38" i="16" s="1"/>
  <c r="K39" i="16" a="1"/>
  <c r="K39" i="16" s="1"/>
  <c r="K40" i="16" a="1"/>
  <c r="K40" i="16" s="1"/>
  <c r="K41" i="16" a="1"/>
  <c r="K41" i="16" s="1"/>
  <c r="K42" i="16" a="1"/>
  <c r="K42" i="16" s="1"/>
  <c r="K43" i="16" a="1"/>
  <c r="K43" i="16" s="1"/>
  <c r="K44" i="16" a="1"/>
  <c r="K44" i="16" s="1"/>
  <c r="K45" i="16" a="1"/>
  <c r="K45" i="16" s="1"/>
  <c r="K46" i="16" a="1"/>
  <c r="K46" i="16" s="1"/>
  <c r="K47" i="16" a="1"/>
  <c r="K47" i="16" s="1"/>
  <c r="K48" i="16" a="1"/>
  <c r="K48" i="16" s="1"/>
  <c r="K49" i="16" a="1"/>
  <c r="K49" i="16" s="1"/>
  <c r="K50" i="16" a="1"/>
  <c r="K50" i="16" s="1"/>
  <c r="K51" i="16" a="1"/>
  <c r="K51" i="16" s="1"/>
  <c r="K52" i="16" a="1"/>
  <c r="K52" i="16" s="1"/>
  <c r="K53" i="16" a="1"/>
  <c r="K53" i="16" s="1"/>
  <c r="K54" i="16" a="1"/>
  <c r="K54" i="16" s="1"/>
  <c r="K55" i="16" a="1"/>
  <c r="K55" i="16" s="1"/>
  <c r="K56" i="16" a="1"/>
  <c r="K56" i="16" s="1"/>
  <c r="K57" i="16" a="1"/>
  <c r="K57" i="16" s="1"/>
  <c r="K58" i="16" a="1"/>
  <c r="K58" i="16" s="1"/>
  <c r="K59" i="16" a="1"/>
  <c r="K59" i="16" s="1"/>
  <c r="K60" i="16" a="1"/>
  <c r="K60" i="16" s="1"/>
  <c r="K61" i="16" a="1"/>
  <c r="K61" i="16" s="1"/>
  <c r="K62" i="16" a="1"/>
  <c r="K62" i="16" s="1"/>
  <c r="K63" i="16" a="1"/>
  <c r="K63" i="16" s="1"/>
  <c r="K64" i="16" a="1"/>
  <c r="K64" i="16" s="1"/>
  <c r="K65" i="16" a="1"/>
  <c r="K65" i="16" s="1"/>
  <c r="K66" i="16" a="1"/>
  <c r="K66" i="16" s="1"/>
  <c r="K67" i="16" a="1"/>
  <c r="K67" i="16" s="1"/>
  <c r="K68" i="16" a="1"/>
  <c r="K68" i="16" s="1"/>
  <c r="K69" i="16" a="1"/>
  <c r="K69" i="16" s="1"/>
  <c r="K70" i="16" a="1"/>
  <c r="K70" i="16" s="1"/>
  <c r="K71" i="16" a="1"/>
  <c r="K71" i="16" s="1"/>
  <c r="K72" i="16" a="1"/>
  <c r="K72" i="16" s="1"/>
  <c r="K73" i="16" a="1"/>
  <c r="K73" i="16" s="1"/>
  <c r="K74" i="16" a="1"/>
  <c r="K74" i="16" s="1"/>
  <c r="K75" i="16" a="1"/>
  <c r="K75" i="16" s="1"/>
  <c r="K76" i="16" a="1"/>
  <c r="K76" i="16" s="1"/>
  <c r="K77" i="16" a="1"/>
  <c r="K77" i="16" s="1"/>
  <c r="K78" i="16" a="1"/>
  <c r="K78" i="16" s="1"/>
  <c r="K79" i="16" a="1"/>
  <c r="K79" i="16" s="1"/>
  <c r="K80" i="16" a="1"/>
  <c r="K80" i="16" s="1"/>
  <c r="K81" i="16" a="1"/>
  <c r="K81" i="16" s="1"/>
  <c r="K82" i="16" a="1"/>
  <c r="K82" i="16" s="1"/>
  <c r="K83" i="16" a="1"/>
  <c r="K83" i="16" s="1"/>
  <c r="K84" i="16" a="1"/>
  <c r="K84" i="16" s="1"/>
  <c r="K85" i="16" a="1"/>
  <c r="K85" i="16" s="1"/>
  <c r="K86" i="16" a="1"/>
  <c r="K86" i="16" s="1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F17" i="23"/>
  <c r="F18" i="23"/>
  <c r="F16" i="23" a="1"/>
  <c r="F16" i="23" s="1"/>
  <c r="C18" i="23" a="1"/>
  <c r="C18" i="23" s="1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2" i="24" a="1"/>
  <c r="C12" i="24" s="1"/>
  <c r="C13" i="24"/>
  <c r="C11" i="24" a="1"/>
  <c r="C11" i="24" s="1"/>
  <c r="F7" i="24"/>
  <c r="C8" i="24" a="1"/>
  <c r="C8" i="24" s="1"/>
  <c r="C7" i="24"/>
  <c r="C10" i="24"/>
  <c r="C9" i="24"/>
  <c r="F9" i="24"/>
  <c r="M86" i="16" l="1"/>
  <c r="M66" i="16"/>
  <c r="M58" i="16"/>
  <c r="M50" i="16"/>
  <c r="M42" i="16"/>
  <c r="M6" i="16"/>
  <c r="M79" i="16"/>
  <c r="M71" i="16"/>
  <c r="M63" i="16"/>
  <c r="M55" i="16"/>
  <c r="M47" i="16"/>
  <c r="M39" i="16"/>
  <c r="M31" i="16"/>
  <c r="M23" i="16"/>
  <c r="M78" i="16"/>
  <c r="M70" i="16"/>
  <c r="M62" i="16"/>
  <c r="M54" i="16"/>
  <c r="M46" i="16"/>
  <c r="M38" i="16"/>
  <c r="M30" i="16"/>
  <c r="M22" i="16"/>
  <c r="M15" i="16"/>
  <c r="M14" i="16"/>
  <c r="M75" i="16"/>
  <c r="M67" i="16"/>
  <c r="M59" i="16"/>
  <c r="M51" i="16"/>
  <c r="M5" i="16"/>
  <c r="M85" i="16"/>
  <c r="M77" i="16"/>
  <c r="M69" i="16"/>
  <c r="M61" i="16"/>
  <c r="M53" i="16"/>
  <c r="M45" i="16"/>
  <c r="M37" i="16"/>
  <c r="M29" i="16"/>
  <c r="M21" i="16"/>
  <c r="M18" i="16"/>
  <c r="M10" i="16"/>
  <c r="M84" i="16"/>
  <c r="M76" i="16"/>
  <c r="M68" i="16"/>
  <c r="M60" i="16"/>
  <c r="M52" i="16"/>
  <c r="M44" i="16"/>
  <c r="M36" i="16"/>
  <c r="M28" i="16"/>
  <c r="M20" i="16"/>
  <c r="M7" i="16"/>
  <c r="M11" i="16"/>
  <c r="M13" i="16"/>
  <c r="M12" i="16"/>
  <c r="M56" i="16"/>
  <c r="M48" i="16"/>
  <c r="M35" i="16"/>
  <c r="M43" i="16"/>
  <c r="M27" i="16"/>
  <c r="M82" i="16"/>
  <c r="M74" i="16"/>
  <c r="M34" i="16"/>
  <c r="M26" i="16"/>
  <c r="M81" i="16"/>
  <c r="M65" i="16"/>
  <c r="M49" i="16"/>
  <c r="M25" i="16"/>
  <c r="M73" i="16"/>
  <c r="M57" i="16"/>
  <c r="M41" i="16"/>
  <c r="M33" i="16"/>
  <c r="M17" i="16"/>
  <c r="M9" i="16"/>
  <c r="M80" i="16"/>
  <c r="M72" i="16"/>
  <c r="M64" i="16"/>
  <c r="M40" i="16"/>
  <c r="M32" i="16"/>
  <c r="M24" i="16"/>
  <c r="M16" i="16"/>
  <c r="M8" i="16"/>
  <c r="M83" i="16"/>
  <c r="M19" i="16"/>
  <c r="D17" i="23"/>
  <c r="N68" i="16"/>
  <c r="N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N83" i="16" l="1"/>
  <c r="N75" i="16"/>
  <c r="N73" i="16"/>
  <c r="N65" i="16"/>
  <c r="N64" i="16"/>
  <c r="N79" i="16"/>
  <c r="N71" i="16"/>
  <c r="N80" i="16"/>
  <c r="N72" i="16"/>
  <c r="N84" i="16"/>
  <c r="N67" i="16"/>
  <c r="N82" i="16"/>
  <c r="N74" i="16"/>
  <c r="N66" i="16"/>
  <c r="N86" i="16"/>
  <c r="N78" i="16"/>
  <c r="N70" i="16"/>
  <c r="N85" i="16"/>
  <c r="N77" i="16"/>
  <c r="N69" i="16"/>
  <c r="N81" i="16"/>
  <c r="N5" i="16" l="1"/>
  <c r="N6" i="16"/>
  <c r="N7" i="16"/>
  <c r="N8" i="16"/>
  <c r="N9" i="16"/>
  <c r="N10" i="16"/>
  <c r="N11" i="16"/>
  <c r="F8" i="24" s="1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B4" i="19" l="1"/>
  <c r="B2" i="19"/>
  <c r="L3" i="19"/>
  <c r="L2" i="19"/>
  <c r="B3" i="19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<sst xmlns="http://schemas.openxmlformats.org/spreadsheetml/2006/main" count="504" uniqueCount="176">
  <si>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</si>
  <si>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</si>
  <si>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</si>
  <si>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</si>
  <si>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</si>
  <si>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</si>
  <si>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</si>
  <si>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</si>
  <si>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</si>
  <si>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</si>
  <si>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</si>
  <si>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</si>
  <si>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</si>
  <si>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</si>
  <si>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</si>
  <si>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</si>
  <si>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</si>
  <si>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</si>
  <si>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</si>
  <si>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</si>
  <si>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</si>
  <si>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</si>
  <si>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</si>
  <si>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</si>
  <si>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</si>
  <si>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</si>
  <si>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</si>
  <si>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</si>
  <si>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</si>
  <si>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</si>
  <si>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</si>
  <si>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</si>
  <si>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</si>
  <si>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</si>
  <si>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</si>
  <si>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</si>
  <si>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</si>
  <si>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</si>
  <si>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</si>
  <si>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</si>
  <si>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</si>
  <si>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</si>
  <si>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</si>
  <si>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</si>
  <si>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</si>
  <si>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</si>
  <si>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</si>
  <si>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</si>
  <si>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</si>
  <si>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</si>
  <si>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</si>
  <si>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</si>
  <si>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</si>
  <si>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</si>
  <si>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</si>
  <si>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</si>
  <si>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</si>
  <si>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</si>
  <si>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</si>
  <si>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</si>
  <si>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</si>
  <si>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</si>
  <si>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</si>
  <si>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</si>
  <si>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</si>
  <si>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</si>
  <si>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</si>
  <si>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</si>
  <si>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</si>
  <si>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</si>
  <si>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</si>
  <si>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</si>
  <si>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</si>
  <si>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</si>
  <si>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</si>
  <si>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</si>
  <si>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</si>
  <si>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</si>
  <si>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</si>
  <si>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</si>
  <si>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</si>
  <si>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</si>
  <si>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</si>
  <si>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</si>
  <si>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</si>
  <si>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</si>
  <si>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</si>
  <si>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</si>
  <si>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</si>
  <si>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</si>
  <si>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</si>
  <si>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</si>
  <si>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</si>
  <si>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</si>
  <si>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</si>
  <si>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</si>
  <si>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</si>
  <si>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</si>
  <si>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</si>
  <si>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</si>
  <si>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</si>
  <si>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</si>
  <si>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</si>
  <si>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</si>
  <si>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</si>
  <si>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</si>
  <si>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</si>
  <si>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</si>
  <si>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</si>
  <si>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</si>
  <si>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</si>
  <si>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</si>
  <si>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</si>
  <si>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</si>
  <si>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</si>
  <si>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</si>
  <si>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</si>
  <si>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</si>
  <si>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</si>
  <si>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</si>
  <si>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</si>
  <si>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</si>
  <si>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</si>
  <si>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</si>
  <si>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</si>
  <si>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</si>
  <si>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</si>
  <si>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</si>
  <si>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</si>
  <si>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</si>
  <si>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</si>
  <si>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</si>
  <si>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</si>
  <si>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</si>
  <si>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</si>
  <si>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</si>
  <si>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</si>
  <si>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</si>
  <si>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</si>
  <si>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</si>
  <si>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</si>
  <si>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</si>
  <si>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</si>
  <si>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</si>
  <si>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</si>
  <si>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</si>
  <si>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</si>
  <si>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</si>
  <si>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</si>
  <si>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</si>
  <si>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</si>
  <si>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</si>
  <si>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</si>
  <si>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</si>
  <si>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</si>
  <si>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</si>
  <si>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</si>
  <si>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</si>
  <si>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</si>
  <si>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</si>
  <si>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</si>
  <si>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</si>
  <si>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</si>
  <si>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</si>
  <si>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</si>
  <si>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</si>
  <si>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</si>
  <si>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</si>
  <si>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Linha</t>
  </si>
  <si>
    <t>Coluna</t>
  </si>
  <si>
    <t>Indice</t>
  </si>
  <si>
    <t>Desc.3</t>
  </si>
  <si>
    <t>Desconto(Passo a Passo)</t>
  </si>
  <si>
    <t>Desconto (Diretão)</t>
  </si>
  <si>
    <t>Desconto do Vendedor</t>
  </si>
  <si>
    <t>Desconto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</si>
</sst>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44" fontId="0" fillId="0" borderId="0" xfId="0" applyNumberFormat="1"/>
    <xf numFmtId="0" fontId="13" fillId="0" borderId="0" xfId="0" applyFont="1" applyAlignment="1">
      <alignment horizontal="center"/>
    </xf>
    <xf numFmtId="0" fontId="15" fillId="2" borderId="22" xfId="3" applyFont="1" applyFill="1" applyBorder="1" applyAlignment="1">
      <alignment horizontal="center"/>
    </xf>
    <xf numFmtId="0" fontId="17" fillId="2" borderId="0" xfId="3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1" fontId="19" fillId="7" borderId="7" xfId="0" applyNumberFormat="1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24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4" fillId="7" borderId="30" xfId="0" applyFont="1" applyFill="1" applyBorder="1" applyAlignment="1">
      <alignment horizontal="center"/>
    </xf>
    <xf numFmtId="0" fontId="24" fillId="7" borderId="27" xfId="0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0" borderId="1" xfId="0" applyNumberFormat="1" applyFont="1" applyBorder="1" applyAlignment="1">
      <alignment horizontal="center"/>
    </xf>
    <xf numFmtId="0" fontId="15" fillId="2" borderId="18" xfId="3" applyFont="1" applyFill="1" applyBorder="1" applyAlignment="1">
      <alignment horizont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19" fillId="7" borderId="2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9" fontId="16" fillId="0" borderId="3" xfId="5" applyFont="1" applyBorder="1" applyAlignment="1">
      <alignment horizontal="center"/>
    </xf>
    <xf numFmtId="9" fontId="16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17" fillId="2" borderId="28" xfId="3" applyFont="1" applyFill="1" applyBorder="1" applyAlignment="1">
      <alignment horizontal="right"/>
    </xf>
    <xf numFmtId="0" fontId="17" fillId="2" borderId="11" xfId="3" applyFont="1" applyFill="1" applyBorder="1" applyAlignment="1">
      <alignment horizontal="right"/>
    </xf>
    <xf numFmtId="0" fontId="17" fillId="2" borderId="29" xfId="3" applyFont="1" applyFill="1" applyBorder="1" applyAlignment="1">
      <alignment horizontal="right"/>
    </xf>
    <xf numFmtId="0" fontId="17" fillId="2" borderId="32" xfId="3" applyFont="1" applyFill="1" applyBorder="1" applyAlignment="1">
      <alignment horizontal="right"/>
    </xf>
    <xf numFmtId="14" fontId="24" fillId="7" borderId="25" xfId="0" applyNumberFormat="1" applyFont="1" applyFill="1" applyBorder="1" applyAlignment="1">
      <alignment horizontal="center"/>
    </xf>
    <xf numFmtId="165" fontId="24" fillId="7" borderId="26" xfId="0" applyNumberFormat="1" applyFont="1" applyFill="1" applyBorder="1" applyAlignment="1">
      <alignment horizontal="center" vertical="center"/>
    </xf>
    <xf numFmtId="0" fontId="1" fillId="0" borderId="0" xfId="0" applyFont="1"/>
    <xf numFmtId="0" fontId="26" fillId="0" borderId="0" xfId="0" applyFont="1"/>
    <xf numFmtId="0" fontId="15" fillId="2" borderId="8" xfId="3" applyFont="1" applyFill="1" applyBorder="1" applyAlignment="1">
      <alignment horizontal="center" vertical="center" wrapText="1"/>
    </xf>
    <xf numFmtId="0" fontId="15" fillId="2" borderId="33" xfId="3" applyFont="1" applyFill="1" applyBorder="1" applyAlignment="1">
      <alignment horizontal="center" vertical="center" wrapText="1"/>
    </xf>
    <xf numFmtId="0" fontId="16" fillId="0" borderId="31" xfId="5" applyNumberFormat="1" applyFont="1" applyBorder="1" applyAlignment="1">
      <alignment horizontal="center" vertical="center"/>
    </xf>
    <xf numFmtId="165" fontId="24" fillId="7" borderId="27" xfId="0" applyNumberFormat="1" applyFont="1" applyFill="1" applyBorder="1" applyAlignment="1">
      <alignment horizontal="center" vertical="center"/>
    </xf>
    <xf numFmtId="9" fontId="26" fillId="8" borderId="0" xfId="5" applyFont="1" applyFill="1"/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20" fillId="3" borderId="0" xfId="0" applyNumberFormat="1" applyFont="1" applyFill="1" applyAlignment="1">
      <alignment vertical="center"/>
    </xf>
    <xf numFmtId="0" fontId="0" fillId="7" borderId="0" xfId="0" applyNumberFormat="1" applyFill="1"/>
    <xf numFmtId="0" fontId="0" fillId="0" borderId="0" xfId="0" applyNumberFormat="1"/>
    <xf numFmtId="0" fontId="17" fillId="2" borderId="0" xfId="3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17" fillId="2" borderId="0" xfId="3" applyFont="1" applyFill="1" applyBorder="1" applyAlignment="1">
      <alignment horizontal="center" wrapText="1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3"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221796</xdr:colOff>
      <xdr:row>0</xdr:row>
      <xdr:rowOff>85725</xdr:rowOff>
    </xdr:from>
    <xdr:to>
      <xdr:col>9</xdr:col>
      <xdr:colOff>908412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6</xdr:col>
      <xdr:colOff>1015093</xdr:colOff>
      <xdr:row>0</xdr:row>
      <xdr:rowOff>85725</xdr:rowOff>
    </xdr:from>
    <xdr:to>
      <xdr:col>7</xdr:col>
      <xdr:colOff>430803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5</xdr:col>
      <xdr:colOff>634773</xdr:colOff>
      <xdr:row>0</xdr:row>
      <xdr:rowOff>85725</xdr:rowOff>
    </xdr:from>
    <xdr:to>
      <xdr:col>6</xdr:col>
      <xdr:colOff>922701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4</xdr:col>
      <xdr:colOff>733425</xdr:colOff>
      <xdr:row>0</xdr:row>
      <xdr:rowOff>85725</xdr:rowOff>
    </xdr:from>
    <xdr:to>
      <xdr:col>5</xdr:col>
      <xdr:colOff>542380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2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1"/>
    <tableColumn id="2" xr3:uid="{E100D4E2-C3A0-43FF-A1D9-90A4BC2A9918}" name="Produtos"/>
    <tableColumn id="3" xr3:uid="{2EF7FEE0-6B6F-4534-86A0-46B6555B7BEF}" name="Tamanho" dataDxfId="20"/>
    <tableColumn id="4" xr3:uid="{4435A4B8-E7F0-4D66-A4F8-6A9FEAA36D5A}" name="Categoria"/>
    <tableColumn id="6" xr3:uid="{15F9CACC-A558-4A20-80CF-C2ADA2603221}" name="Estoque" dataDxfId="19"/>
    <tableColumn id="5" xr3:uid="{CA8AD0DE-58EC-4839-85FB-1DD75DA28087}" name="Preço Unitário" dataDxfId="1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O86" totalsRowShown="0" headerRowDxfId="17" dataDxfId="16" headerRowCellStyle="Cabeçalho Meteora">
  <autoFilter ref="A4:O86" xr:uid="{AD739091-30BD-4C30-BDDA-7504C0C4B6E2}"/>
  <tableColumns count="15">
    <tableColumn id="7" xr3:uid="{5E8DE7C3-CDB6-4314-A5CC-C44D3C21973F}" name="Nº" dataDxfId="15">
      <calculatedColumnFormula>MONTH(TB_Vendas[[#This Row],[Data]])</calculatedColumnFormula>
    </tableColumn>
    <tableColumn id="10" xr3:uid="{BD1ABB49-B48B-4C50-A034-45488FDC03A8}" name="Mês" dataDxfId="14">
      <calculatedColumnFormula>PROPER(TEXT(DATE(,TB_Vendas[[#This Row],[Nº]],1),"Mmm"))</calculatedColumnFormula>
    </tableColumn>
    <tableColumn id="1" xr3:uid="{43632F1F-6978-4CE7-BB13-7CCE587D6821}" name="Data" dataDxfId="13"/>
    <tableColumn id="12" xr3:uid="{205A55AB-454E-4288-AE23-042C3C399E7A}" name="Código" dataDxfId="12"/>
    <tableColumn id="14" xr3:uid="{ABDF9A22-426B-4C6F-8ADA-FF9DF59D77D2}" name="Categoria" dataDxfId="5">
      <calculatedColumnFormula>_xlfn.XLOOKUP(TB_Vendas[[#This Row],[Código]],TB_Produtos[Código],TB_Produtos[Categoria],"")</calculatedColumnFormula>
    </tableColumn>
    <tableColumn id="5" xr3:uid="{7DC2ADED-AF8A-4BC8-A38E-FEF676FE49C9}" name="Qtd" dataDxfId="11"/>
    <tableColumn id="9" xr3:uid="{05B7315B-2774-41BC-AFEC-4A19E452D6C7}" name="Preço Unitário" dataDxfId="4">
      <calculatedColumnFormula>VLOOKUP(TB_Vendas[[#This Row],[Código]],Produtos!$B$6:$G$66,6,0)</calculatedColumnFormula>
    </tableColumn>
    <tableColumn id="16" xr3:uid="{E45E17CB-0B4B-48D6-A046-9776C7173FC3}" name="Indice" dataDxfId="3">
      <calculatedColumnFormula>_xlfn.XMATCH(TB_Vendas[[#This Row],[Categoria]],Desc_Categorias,0)</calculatedColumnFormula>
    </tableColumn>
    <tableColumn id="17" xr3:uid="{C0DB16BE-A288-4191-970C-BD6D9A10E627}" name="Desc.3" dataDxfId="0">
      <calculatedColumnFormula array="1">VLOOKUP(TB_Vendas[[#This Row],[Qtd]],Desc_TabelaToda,_xlfn.IFS(TB_Vendas[[#This Row],[Categoria]]='Cadastros Auxiliares'!$C$8,2,TB_Vendas[[#This Row],[Categoria]]='Cadastros Auxiliares'!$D$8,3,TB_Vendas[[#This Row],[Categoria]]='Cadastros Auxiliares'!$E$8,4),TRUE)</calculatedColumnFormula>
    </tableColumn>
    <tableColumn id="15" xr3:uid="{A5350BC7-7776-475B-877E-2190547B01A2}" name="Desconto(Passo a Passo)" dataDxfId="2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(Diretão)" dataDxfId="7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4" xr3:uid="{660C76FA-D8E6-4EFA-8200-35895EE671AA}" name="Desconto do Vendedor" dataDxfId="8" dataCellStyle="Porcentagem">
      <calculatedColumnFormula>_xlfn.XLOOKUP(TB_Vendas[[#This Row],[Vendedor]],Vendedores!$A$5:$A$9,Vendedores!$D$6:$D$10)</calculatedColumnFormula>
    </tableColumn>
    <tableColumn id="11" xr3:uid="{04E06ABA-B5D4-424E-870E-73811A83680A}" name="Desconto Final" dataDxfId="6" dataCellStyle="Porcentagem">
      <calculatedColumnFormula>IF(TB_Vendas[[#This Row],[Desconto (Diretão)]]&gt;TB_Vendas[[#This Row],[Desconto do Vendedor]],TB_Vendas[[#This Row],[Desconto do Vendedor]],TB_Vendas[[#This Row],[Desconto (Diretão)]])</calculatedColumnFormula>
    </tableColumn>
    <tableColumn id="6" xr3:uid="{9459B662-6A4F-4486-82B1-12F67B8F842E}" name="Total" dataDxfId="10">
      <calculatedColumnFormula>TB_Vendas[[#This Row],[Preço Unitário]]*TB_Vendas[[#This Row],[Qtd]]</calculatedColumnFormula>
    </tableColumn>
    <tableColumn id="8" xr3:uid="{192FEBCA-1287-48A6-9BE6-69528F71C305}" name="Vendedor" dataDxfId="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selection activeCell="J14" sqref="J14"/>
    </sheetView>
  </sheetViews>
  <sheetFormatPr defaultColWidth="0" defaultRowHeight="15" zeroHeight="1"/>
  <cols>
    <col min="1" max="5" width="8.85546875" style="40" customWidth="1"/>
    <col min="6" max="12" width="8.85546875" customWidth="1"/>
    <col min="13" max="16384" width="8.85546875" hidden="1"/>
  </cols>
  <sheetData>
    <row r="1" spans="1:12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2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</row>
    <row r="5" spans="1:12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</row>
    <row r="6" spans="1:12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</row>
    <row r="7" spans="1:12">
      <c r="F7" s="40"/>
      <c r="G7" s="40"/>
      <c r="H7" s="40"/>
      <c r="I7" s="40"/>
      <c r="J7" s="40"/>
      <c r="K7" s="40"/>
      <c r="L7" s="40"/>
    </row>
    <row r="8" spans="1:12">
      <c r="F8" s="40"/>
      <c r="G8" s="40"/>
      <c r="H8" s="40"/>
      <c r="I8" s="40"/>
      <c r="J8" s="40"/>
      <c r="K8" s="40"/>
      <c r="L8" s="40"/>
    </row>
    <row r="9" spans="1:12">
      <c r="F9" s="40"/>
      <c r="G9" s="40"/>
      <c r="H9" s="40"/>
      <c r="I9" s="40"/>
      <c r="J9" s="40"/>
      <c r="K9" s="40"/>
      <c r="L9" s="40"/>
    </row>
    <row r="10" spans="1:12">
      <c r="F10" s="40"/>
      <c r="G10" s="40"/>
      <c r="H10" s="40"/>
      <c r="I10" s="40"/>
      <c r="J10" s="40"/>
      <c r="K10" s="40"/>
      <c r="L10" s="40"/>
    </row>
    <row r="11" spans="1:12">
      <c r="F11" s="40"/>
      <c r="G11" s="40"/>
      <c r="H11" s="40"/>
      <c r="I11" s="40"/>
      <c r="J11" s="40"/>
      <c r="K11" s="40"/>
      <c r="L11" s="40"/>
    </row>
    <row r="12" spans="1:12">
      <c r="F12" s="40"/>
      <c r="G12" s="40"/>
      <c r="H12" s="40"/>
      <c r="I12" s="40"/>
      <c r="J12" s="40"/>
      <c r="K12" s="40"/>
      <c r="L12" s="40"/>
    </row>
    <row r="13" spans="1:12">
      <c r="F13" s="40"/>
      <c r="G13" s="40"/>
      <c r="H13" s="40"/>
      <c r="I13" s="40"/>
      <c r="J13" s="40"/>
      <c r="K13" s="40"/>
      <c r="L13" s="40"/>
    </row>
    <row r="14" spans="1:12">
      <c r="F14" s="40"/>
      <c r="G14" s="40"/>
      <c r="H14" s="40"/>
      <c r="I14" s="40"/>
      <c r="J14" s="40"/>
      <c r="K14" s="40"/>
      <c r="L14" s="40"/>
    </row>
    <row r="15" spans="1:12">
      <c r="F15" s="40"/>
      <c r="G15" s="40"/>
      <c r="H15" s="40"/>
      <c r="I15" s="40"/>
      <c r="J15" s="40"/>
      <c r="K15" s="40"/>
      <c r="L15" s="40"/>
    </row>
    <row r="16" spans="1:12">
      <c r="F16" s="40"/>
      <c r="G16" s="40"/>
      <c r="H16" s="40"/>
      <c r="I16" s="40"/>
      <c r="J16" s="40"/>
      <c r="K16" s="40"/>
      <c r="L16" s="40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topLeftCell="A37" zoomScale="120" zoomScaleNormal="120" workbookViewId="0">
      <selection activeCell="B6" sqref="B6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40" customFormat="1" ht="40.15" customHeight="1">
      <c r="A1" s="43"/>
      <c r="B1" s="47" t="s">
        <v>133</v>
      </c>
      <c r="C1" s="47"/>
      <c r="D1" s="47"/>
      <c r="E1" s="47"/>
      <c r="F1" s="47"/>
      <c r="G1" s="47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18" customHeight="1">
      <c r="A4" s="46"/>
      <c r="B4" s="46"/>
      <c r="D4" s="42"/>
      <c r="E4" s="42"/>
      <c r="F4" s="42"/>
    </row>
    <row r="5" spans="1:9" ht="4.9000000000000004" customHeight="1">
      <c r="A5" s="42"/>
      <c r="B5" s="42"/>
      <c r="C5" s="42"/>
      <c r="D5" s="42"/>
      <c r="E5" s="42"/>
      <c r="F5" s="42"/>
    </row>
    <row r="6" spans="1:9" s="1" customFormat="1" ht="18.75">
      <c r="B6" s="34" t="s">
        <v>30</v>
      </c>
      <c r="C6" s="34" t="s">
        <v>0</v>
      </c>
      <c r="D6" s="34" t="s">
        <v>1</v>
      </c>
      <c r="E6" s="34" t="s">
        <v>10</v>
      </c>
      <c r="F6" s="34" t="s">
        <v>77</v>
      </c>
      <c r="G6" s="34" t="s">
        <v>11</v>
      </c>
      <c r="H6" s="34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8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8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37</v>
      </c>
      <c r="G9" s="8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8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8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8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8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8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8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8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8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8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8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8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8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8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8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8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8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8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8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8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8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8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8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8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8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8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8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8">
        <v>259.89999999999998</v>
      </c>
    </row>
    <row r="37" spans="2:7">
      <c r="B37" s="1" t="s">
        <v>62</v>
      </c>
      <c r="C37" t="s">
        <v>124</v>
      </c>
      <c r="D37" s="1">
        <v>36</v>
      </c>
      <c r="E37" t="s">
        <v>14</v>
      </c>
      <c r="F37" s="1">
        <v>27</v>
      </c>
      <c r="G37" s="8">
        <v>245</v>
      </c>
    </row>
    <row r="38" spans="2:7">
      <c r="B38" s="1" t="s">
        <v>63</v>
      </c>
      <c r="C38" t="s">
        <v>124</v>
      </c>
      <c r="D38" s="1">
        <v>37</v>
      </c>
      <c r="E38" t="s">
        <v>14</v>
      </c>
      <c r="F38" s="1">
        <v>41</v>
      </c>
      <c r="G38" s="8">
        <v>250</v>
      </c>
    </row>
    <row r="39" spans="2:7">
      <c r="B39" s="1" t="s">
        <v>64</v>
      </c>
      <c r="C39" t="s">
        <v>124</v>
      </c>
      <c r="D39" s="1">
        <v>38</v>
      </c>
      <c r="E39" t="s">
        <v>14</v>
      </c>
      <c r="F39" s="1">
        <v>43</v>
      </c>
      <c r="G39" s="8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8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8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8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8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8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8">
        <v>146</v>
      </c>
    </row>
    <row r="46" spans="2:7">
      <c r="B46" s="1" t="s">
        <v>96</v>
      </c>
      <c r="C46" t="s">
        <v>120</v>
      </c>
      <c r="D46" s="1" t="s">
        <v>2</v>
      </c>
      <c r="E46" t="s">
        <v>12</v>
      </c>
      <c r="F46" s="1">
        <v>16</v>
      </c>
      <c r="G46" s="33">
        <v>70</v>
      </c>
    </row>
    <row r="47" spans="2:7">
      <c r="B47" s="1" t="s">
        <v>97</v>
      </c>
      <c r="C47" t="s">
        <v>120</v>
      </c>
      <c r="D47" s="1" t="s">
        <v>3</v>
      </c>
      <c r="E47" t="s">
        <v>12</v>
      </c>
      <c r="F47" s="1">
        <v>21</v>
      </c>
      <c r="G47" s="33">
        <v>54.9</v>
      </c>
    </row>
    <row r="48" spans="2:7">
      <c r="B48" s="1" t="s">
        <v>98</v>
      </c>
      <c r="C48" t="s">
        <v>120</v>
      </c>
      <c r="D48" s="1" t="s">
        <v>4</v>
      </c>
      <c r="E48" t="s">
        <v>12</v>
      </c>
      <c r="F48" s="1">
        <v>43</v>
      </c>
      <c r="G48" s="33">
        <v>54.9</v>
      </c>
    </row>
    <row r="49" spans="2:7">
      <c r="B49" s="1" t="s">
        <v>99</v>
      </c>
      <c r="C49" t="s">
        <v>100</v>
      </c>
      <c r="D49" s="1" t="s">
        <v>2</v>
      </c>
      <c r="E49" t="s">
        <v>12</v>
      </c>
      <c r="F49" s="1">
        <v>43</v>
      </c>
      <c r="G49" s="33">
        <v>72.5</v>
      </c>
    </row>
    <row r="50" spans="2:7">
      <c r="B50" s="1" t="s">
        <v>101</v>
      </c>
      <c r="C50" t="s">
        <v>100</v>
      </c>
      <c r="D50" s="1" t="s">
        <v>3</v>
      </c>
      <c r="E50" t="s">
        <v>12</v>
      </c>
      <c r="F50" s="1">
        <v>41</v>
      </c>
      <c r="G50" s="33">
        <v>72.5</v>
      </c>
    </row>
    <row r="51" spans="2:7">
      <c r="B51" s="1" t="s">
        <v>102</v>
      </c>
      <c r="C51" t="s">
        <v>100</v>
      </c>
      <c r="D51" s="1" t="s">
        <v>4</v>
      </c>
      <c r="E51" t="s">
        <v>12</v>
      </c>
      <c r="F51" s="1">
        <v>49</v>
      </c>
      <c r="G51" s="33">
        <v>72.5</v>
      </c>
    </row>
    <row r="52" spans="2:7">
      <c r="B52" s="1" t="s">
        <v>103</v>
      </c>
      <c r="C52" t="s">
        <v>104</v>
      </c>
      <c r="D52" s="1" t="s">
        <v>2</v>
      </c>
      <c r="E52" t="s">
        <v>12</v>
      </c>
      <c r="F52" s="1">
        <v>15</v>
      </c>
      <c r="G52" s="33">
        <v>289.89999999999998</v>
      </c>
    </row>
    <row r="53" spans="2:7">
      <c r="B53" s="1" t="s">
        <v>105</v>
      </c>
      <c r="C53" t="s">
        <v>104</v>
      </c>
      <c r="D53" s="1" t="s">
        <v>3</v>
      </c>
      <c r="E53" t="s">
        <v>12</v>
      </c>
      <c r="F53" s="1">
        <v>10</v>
      </c>
      <c r="G53" s="33">
        <v>289.89999999999998</v>
      </c>
    </row>
    <row r="54" spans="2:7">
      <c r="B54" s="1" t="s">
        <v>106</v>
      </c>
      <c r="C54" t="s">
        <v>104</v>
      </c>
      <c r="D54" s="1" t="s">
        <v>4</v>
      </c>
      <c r="E54" t="s">
        <v>12</v>
      </c>
      <c r="F54" s="1">
        <v>21</v>
      </c>
      <c r="G54" s="33">
        <v>289.89999999999998</v>
      </c>
    </row>
    <row r="55" spans="2:7">
      <c r="B55" s="1" t="s">
        <v>107</v>
      </c>
      <c r="C55" t="s">
        <v>108</v>
      </c>
      <c r="D55" s="1" t="s">
        <v>2</v>
      </c>
      <c r="E55" t="s">
        <v>12</v>
      </c>
      <c r="F55" s="1">
        <v>8</v>
      </c>
      <c r="G55" s="33">
        <v>32.9</v>
      </c>
    </row>
    <row r="56" spans="2:7">
      <c r="B56" s="1" t="s">
        <v>109</v>
      </c>
      <c r="C56" t="s">
        <v>108</v>
      </c>
      <c r="D56" s="1" t="s">
        <v>3</v>
      </c>
      <c r="E56" t="s">
        <v>12</v>
      </c>
      <c r="F56" s="1">
        <v>42</v>
      </c>
      <c r="G56" s="33">
        <v>32.9</v>
      </c>
    </row>
    <row r="57" spans="2:7">
      <c r="B57" s="1" t="s">
        <v>110</v>
      </c>
      <c r="C57" t="s">
        <v>108</v>
      </c>
      <c r="D57" s="1" t="s">
        <v>4</v>
      </c>
      <c r="E57" t="s">
        <v>12</v>
      </c>
      <c r="F57" s="1">
        <v>48</v>
      </c>
      <c r="G57" s="33">
        <v>32.9</v>
      </c>
    </row>
    <row r="58" spans="2:7">
      <c r="B58" s="1" t="s">
        <v>111</v>
      </c>
      <c r="C58" t="s">
        <v>112</v>
      </c>
      <c r="D58" s="1" t="s">
        <v>2</v>
      </c>
      <c r="E58" t="s">
        <v>12</v>
      </c>
      <c r="F58" s="1">
        <v>35</v>
      </c>
      <c r="G58" s="33">
        <v>49.9</v>
      </c>
    </row>
    <row r="59" spans="2:7">
      <c r="B59" s="1" t="s">
        <v>113</v>
      </c>
      <c r="C59" t="s">
        <v>112</v>
      </c>
      <c r="D59" s="1" t="s">
        <v>3</v>
      </c>
      <c r="E59" t="s">
        <v>12</v>
      </c>
      <c r="F59" s="1">
        <v>40</v>
      </c>
      <c r="G59" s="33">
        <v>49.9</v>
      </c>
    </row>
    <row r="60" spans="2:7">
      <c r="B60" s="1" t="s">
        <v>114</v>
      </c>
      <c r="C60" t="s">
        <v>112</v>
      </c>
      <c r="D60" s="1" t="s">
        <v>4</v>
      </c>
      <c r="E60" t="s">
        <v>12</v>
      </c>
      <c r="F60" s="1">
        <v>18</v>
      </c>
      <c r="G60" s="33">
        <v>49.9</v>
      </c>
    </row>
    <row r="61" spans="2:7">
      <c r="B61" s="1" t="s">
        <v>115</v>
      </c>
      <c r="C61" t="s">
        <v>117</v>
      </c>
      <c r="D61" s="1">
        <v>35</v>
      </c>
      <c r="E61" t="s">
        <v>14</v>
      </c>
      <c r="F61" s="1">
        <v>48</v>
      </c>
      <c r="G61" s="33">
        <v>89.9</v>
      </c>
    </row>
    <row r="62" spans="2:7">
      <c r="B62" s="1" t="s">
        <v>116</v>
      </c>
      <c r="C62" t="s">
        <v>117</v>
      </c>
      <c r="D62" s="1">
        <v>36</v>
      </c>
      <c r="E62" t="s">
        <v>14</v>
      </c>
      <c r="F62" s="1">
        <v>38</v>
      </c>
      <c r="G62" s="8">
        <v>89.9</v>
      </c>
    </row>
    <row r="63" spans="2:7">
      <c r="B63" s="1" t="s">
        <v>118</v>
      </c>
      <c r="C63" t="s">
        <v>117</v>
      </c>
      <c r="D63" s="1">
        <v>37</v>
      </c>
      <c r="E63" t="s">
        <v>14</v>
      </c>
      <c r="F63" s="1">
        <v>45</v>
      </c>
      <c r="G63" s="8">
        <v>89.9</v>
      </c>
    </row>
    <row r="64" spans="2:7">
      <c r="B64" s="1" t="s">
        <v>119</v>
      </c>
      <c r="C64" t="s">
        <v>121</v>
      </c>
      <c r="D64" s="1" t="s">
        <v>2</v>
      </c>
      <c r="E64" t="s">
        <v>12</v>
      </c>
      <c r="F64" s="1">
        <v>40</v>
      </c>
      <c r="G64" s="8">
        <v>180</v>
      </c>
    </row>
    <row r="65" spans="2:7">
      <c r="B65" s="1" t="s">
        <v>122</v>
      </c>
      <c r="C65" t="s">
        <v>121</v>
      </c>
      <c r="D65" s="1" t="s">
        <v>3</v>
      </c>
      <c r="E65" t="s">
        <v>12</v>
      </c>
      <c r="F65" s="1">
        <v>35</v>
      </c>
      <c r="G65" s="8">
        <v>180</v>
      </c>
    </row>
    <row r="66" spans="2:7">
      <c r="B66" s="1" t="s">
        <v>123</v>
      </c>
      <c r="C66" t="s">
        <v>121</v>
      </c>
      <c r="D66" s="1" t="s">
        <v>4</v>
      </c>
      <c r="E66" t="s">
        <v>12</v>
      </c>
      <c r="F66" s="1">
        <v>35</v>
      </c>
      <c r="G66" s="8">
        <v>180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O86"/>
  <sheetViews>
    <sheetView tabSelected="1" topLeftCell="C1" zoomScale="140" zoomScaleNormal="140" workbookViewId="0">
      <selection activeCell="M4" sqref="M4"/>
    </sheetView>
  </sheetViews>
  <sheetFormatPr defaultRowHeight="15"/>
  <cols>
    <col min="1" max="1" width="8.85546875" style="1" bestFit="1" customWidth="1"/>
    <col min="2" max="2" width="10.7109375" style="1" bestFit="1" customWidth="1"/>
    <col min="3" max="3" width="13.85546875" style="1" bestFit="1" customWidth="1"/>
    <col min="4" max="4" width="14.28515625" style="1" bestFit="1" customWidth="1"/>
    <col min="5" max="5" width="17.5703125" bestFit="1" customWidth="1"/>
    <col min="6" max="6" width="10.42578125" bestFit="1" customWidth="1"/>
    <col min="7" max="7" width="23.42578125" bestFit="1" customWidth="1"/>
    <col min="8" max="8" width="13.140625" style="123" bestFit="1" customWidth="1"/>
    <col min="9" max="9" width="13.5703125" hidden="1" customWidth="1"/>
    <col min="10" max="10" width="26.140625" customWidth="1"/>
    <col min="11" max="11" width="12.28515625" bestFit="1" customWidth="1"/>
    <col min="12" max="12" width="24.28515625" bestFit="1" customWidth="1"/>
    <col min="13" max="13" width="17.140625" bestFit="1" customWidth="1"/>
    <col min="14" max="14" width="12.7109375" bestFit="1" customWidth="1"/>
    <col min="15" max="15" width="17.5703125" bestFit="1" customWidth="1"/>
  </cols>
  <sheetData>
    <row r="1" spans="1:15" s="40" customFormat="1" ht="40.15" customHeight="1">
      <c r="A1" s="43"/>
      <c r="C1" s="47" t="s">
        <v>134</v>
      </c>
      <c r="D1" s="45"/>
      <c r="E1" s="45"/>
      <c r="F1" s="45"/>
      <c r="G1" s="45"/>
      <c r="H1" s="121"/>
      <c r="I1" s="45"/>
    </row>
    <row r="2" spans="1:15" s="41" customFormat="1" ht="4.5" customHeight="1">
      <c r="A2" s="44"/>
      <c r="B2" s="44"/>
      <c r="C2" s="44"/>
      <c r="D2" s="44"/>
      <c r="E2" s="44"/>
      <c r="H2" s="122"/>
    </row>
    <row r="3" spans="1:15" ht="4.5" customHeight="1">
      <c r="A3" s="42"/>
      <c r="B3" s="42"/>
      <c r="C3" s="42"/>
      <c r="D3" s="42"/>
      <c r="E3" s="42"/>
    </row>
    <row r="4" spans="1:15" ht="56.25">
      <c r="A4" s="11" t="s">
        <v>125</v>
      </c>
      <c r="B4" s="36" t="s">
        <v>31</v>
      </c>
      <c r="C4" s="36" t="s">
        <v>76</v>
      </c>
      <c r="D4" s="36" t="s">
        <v>30</v>
      </c>
      <c r="E4" s="36" t="s">
        <v>10</v>
      </c>
      <c r="F4" s="36" t="s">
        <v>15</v>
      </c>
      <c r="G4" s="36" t="s">
        <v>11</v>
      </c>
      <c r="H4" s="124" t="s">
        <v>170</v>
      </c>
      <c r="I4" s="124" t="s">
        <v>171</v>
      </c>
      <c r="J4" s="126" t="s">
        <v>172</v>
      </c>
      <c r="K4" s="126" t="s">
        <v>173</v>
      </c>
      <c r="L4" s="126" t="s">
        <v>174</v>
      </c>
      <c r="M4" s="126" t="s">
        <v>175</v>
      </c>
      <c r="N4" s="37" t="s">
        <v>16</v>
      </c>
      <c r="O4" s="36" t="s">
        <v>74</v>
      </c>
    </row>
    <row r="5" spans="1:15">
      <c r="A5" s="10">
        <f>MONTH(TB_Vendas[[#This Row],[Data]])</f>
        <v>1</v>
      </c>
      <c r="B5" s="10" t="str">
        <f>PROPER(TEXT(DATE(,TB_Vendas[[#This Row],[Nº]],1),"Mmm"))</f>
        <v>Jan</v>
      </c>
      <c r="C5" s="9">
        <v>44931</v>
      </c>
      <c r="D5" s="10" t="s">
        <v>37</v>
      </c>
      <c r="E5" s="10" t="str">
        <f>_xlfn.XLOOKUP(TB_Vendas[[#This Row],[Código]],TB_Produtos[Código],TB_Produtos[Categoria],"")</f>
        <v>Acessórios</v>
      </c>
      <c r="F5" s="1">
        <v>1</v>
      </c>
      <c r="G5" s="29">
        <f>VLOOKUP(TB_Vendas[[#This Row],[Código]],Produtos!$B$6:$G$66,6,0)</f>
        <v>39.9</v>
      </c>
      <c r="H5" s="125">
        <f>_xlfn.XMATCH(TB_Vendas[[#This Row],[Categoria]],Desc_Categorias,0)</f>
        <v>2</v>
      </c>
      <c r="I5" s="125" cm="1">
        <f t="array" ref="I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</v>
      </c>
      <c r="J5" s="70">
        <f>VLOOKUP(TB_Vendas[[#This Row],[Qtd]],Desc_TabelaToda,TB_Vendas[[#This Row],[Indice]],TRUE)</f>
        <v>0</v>
      </c>
      <c r="K5" s="70" cm="1">
        <f t="array" ref="K5">INDEX(Desc_TabelaToda,MATCH(TB_Vendas[[#This Row],[Qtd]],Desc_Quantidades,1),MATCH(_xlfn.XLOOKUP(TB_Vendas[[#This Row],[Código]],TB_Produtos[[#All],[Código]],TB_Produtos[[#All],[Categoria]]),Desc_Categorias,0))</f>
        <v>0</v>
      </c>
      <c r="L5" s="70">
        <f>_xlfn.XLOOKUP(TB_Vendas[[#This Row],[Vendedor]],Vendedores!$A$5:$A$9,Vendedores!$D$6:$D$10)</f>
        <v>0.1</v>
      </c>
      <c r="M5" s="70">
        <f>IF(TB_Vendas[[#This Row],[Desconto (Diretão)]]&gt;TB_Vendas[[#This Row],[Desconto do Vendedor]],TB_Vendas[[#This Row],[Desconto do Vendedor]],TB_Vendas[[#This Row],[Desconto (Diretão)]])</f>
        <v>0</v>
      </c>
      <c r="N5" s="8">
        <f>TB_Vendas[[#This Row],[Preço Unitário]]*TB_Vendas[[#This Row],[Qtd]]</f>
        <v>39.9</v>
      </c>
      <c r="O5" s="1" t="s">
        <v>127</v>
      </c>
    </row>
    <row r="6" spans="1:15">
      <c r="A6" s="10">
        <f>MONTH(TB_Vendas[[#This Row],[Data]])</f>
        <v>1</v>
      </c>
      <c r="B6" s="10" t="str">
        <f>PROPER(TEXT(DATE(,TB_Vendas[[#This Row],[Nº]],1),"Mmm"))</f>
        <v>Jan</v>
      </c>
      <c r="C6" s="9">
        <v>44932</v>
      </c>
      <c r="D6" s="10" t="s">
        <v>36</v>
      </c>
      <c r="E6" s="10" t="str">
        <f>_xlfn.XLOOKUP(TB_Vendas[[#This Row],[Código]],TB_Produtos[Código],TB_Produtos[Categoria],"")</f>
        <v>Acessórios</v>
      </c>
      <c r="F6" s="1">
        <v>1</v>
      </c>
      <c r="G6" s="29">
        <f>VLOOKUP(TB_Vendas[[#This Row],[Código]],Produtos!$B$6:$G$66,6,0)</f>
        <v>259.89999999999998</v>
      </c>
      <c r="H6" s="125">
        <f>_xlfn.XMATCH(TB_Vendas[[#This Row],[Categoria]],Desc_Categorias,0)</f>
        <v>2</v>
      </c>
      <c r="I6" s="125" cm="1">
        <f t="array" ref="I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</v>
      </c>
      <c r="J6" s="70">
        <f>VLOOKUP(TB_Vendas[[#This Row],[Qtd]],Desc_TabelaToda,TB_Vendas[[#This Row],[Indice]],TRUE)</f>
        <v>0</v>
      </c>
      <c r="K6" s="70" cm="1">
        <f t="array" ref="K6">INDEX(Desc_TabelaToda,MATCH(TB_Vendas[[#This Row],[Qtd]],Desc_Quantidades,1),MATCH(_xlfn.XLOOKUP(TB_Vendas[[#This Row],[Código]],TB_Produtos[[#All],[Código]],TB_Produtos[[#All],[Categoria]]),Desc_Categorias,0))</f>
        <v>0</v>
      </c>
      <c r="L6" s="70">
        <f>_xlfn.XLOOKUP(TB_Vendas[[#This Row],[Vendedor]],Vendedores!$A$5:$A$9,Vendedores!$D$6:$D$10)</f>
        <v>0.1</v>
      </c>
      <c r="M6" s="70">
        <f>IF(TB_Vendas[[#This Row],[Desconto (Diretão)]]&gt;TB_Vendas[[#This Row],[Desconto do Vendedor]],TB_Vendas[[#This Row],[Desconto do Vendedor]],TB_Vendas[[#This Row],[Desconto (Diretão)]])</f>
        <v>0</v>
      </c>
      <c r="N6" s="8">
        <f>TB_Vendas[[#This Row],[Preço Unitário]]*TB_Vendas[[#This Row],[Qtd]]</f>
        <v>259.89999999999998</v>
      </c>
      <c r="O6" s="1" t="s">
        <v>127</v>
      </c>
    </row>
    <row r="7" spans="1:15">
      <c r="A7" s="10">
        <f>MONTH(TB_Vendas[[#This Row],[Data]])</f>
        <v>1</v>
      </c>
      <c r="B7" s="10" t="str">
        <f>PROPER(TEXT(DATE(,TB_Vendas[[#This Row],[Nº]],1),"Mmm"))</f>
        <v>Jan</v>
      </c>
      <c r="C7" s="9">
        <v>44933</v>
      </c>
      <c r="D7" s="10" t="s">
        <v>110</v>
      </c>
      <c r="E7" s="10" t="str">
        <f>_xlfn.XLOOKUP(TB_Vendas[[#This Row],[Código]],TB_Produtos[Código],TB_Produtos[Categoria],"")</f>
        <v>Vestuário</v>
      </c>
      <c r="F7" s="1">
        <v>2</v>
      </c>
      <c r="G7" s="29">
        <f>VLOOKUP(TB_Vendas[[#This Row],[Código]],Produtos!$B$6:$G$66,6,0)</f>
        <v>32.9</v>
      </c>
      <c r="H7" s="125">
        <f>_xlfn.XMATCH(TB_Vendas[[#This Row],[Categoria]],Desc_Categorias,0)</f>
        <v>3</v>
      </c>
      <c r="I7" s="125" cm="1">
        <f t="array" ref="I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7" s="70">
        <f>VLOOKUP(TB_Vendas[[#This Row],[Qtd]],Desc_TabelaToda,TB_Vendas[[#This Row],[Indice]],TRUE)</f>
        <v>0.15</v>
      </c>
      <c r="K7" s="70" cm="1">
        <f t="array" ref="K7">INDEX(Desc_TabelaToda,MATCH(TB_Vendas[[#This Row],[Qtd]],Desc_Quantidades,1),MATCH(_xlfn.XLOOKUP(TB_Vendas[[#This Row],[Código]],TB_Produtos[[#All],[Código]],TB_Produtos[[#All],[Categoria]]),Desc_Categorias,0))</f>
        <v>0.15</v>
      </c>
      <c r="L7" s="70">
        <f>_xlfn.XLOOKUP(TB_Vendas[[#This Row],[Vendedor]],Vendedores!$A$5:$A$9,Vendedores!$D$6:$D$10)</f>
        <v>0.25</v>
      </c>
      <c r="M7" s="70">
        <f>IF(TB_Vendas[[#This Row],[Desconto (Diretão)]]&gt;TB_Vendas[[#This Row],[Desconto do Vendedor]],TB_Vendas[[#This Row],[Desconto do Vendedor]],TB_Vendas[[#This Row],[Desconto (Diretão)]])</f>
        <v>0.15</v>
      </c>
      <c r="N7" s="8">
        <f>TB_Vendas[[#This Row],[Preço Unitário]]*TB_Vendas[[#This Row],[Qtd]]</f>
        <v>65.8</v>
      </c>
      <c r="O7" s="1" t="s">
        <v>126</v>
      </c>
    </row>
    <row r="8" spans="1:15">
      <c r="A8" s="10">
        <f>MONTH(TB_Vendas[[#This Row],[Data]])</f>
        <v>1</v>
      </c>
      <c r="B8" s="10" t="str">
        <f>PROPER(TEXT(DATE(,TB_Vendas[[#This Row],[Nº]],1),"Mmm"))</f>
        <v>Jan</v>
      </c>
      <c r="C8" s="9">
        <v>44938</v>
      </c>
      <c r="D8" s="10" t="s">
        <v>42</v>
      </c>
      <c r="E8" s="10" t="str">
        <f>_xlfn.XLOOKUP(TB_Vendas[[#This Row],[Código]],TB_Produtos[Código],TB_Produtos[Categoria],"")</f>
        <v>Vestuário</v>
      </c>
      <c r="F8" s="1">
        <v>1</v>
      </c>
      <c r="G8" s="29">
        <f>VLOOKUP(TB_Vendas[[#This Row],[Código]],Produtos!$B$6:$G$66,6,0)</f>
        <v>46.9</v>
      </c>
      <c r="H8" s="125">
        <f>_xlfn.XMATCH(TB_Vendas[[#This Row],[Categoria]],Desc_Categorias,0)</f>
        <v>3</v>
      </c>
      <c r="I8" s="125" cm="1">
        <f t="array" ref="I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8" s="70">
        <f>VLOOKUP(TB_Vendas[[#This Row],[Qtd]],Desc_TabelaToda,TB_Vendas[[#This Row],[Indice]],TRUE)</f>
        <v>0.1</v>
      </c>
      <c r="K8" s="70" cm="1">
        <f t="array" ref="K8">INDEX(Desc_TabelaToda,MATCH(TB_Vendas[[#This Row],[Qtd]],Desc_Quantidades,1),MATCH(_xlfn.XLOOKUP(TB_Vendas[[#This Row],[Código]],TB_Produtos[[#All],[Código]],TB_Produtos[[#All],[Categoria]]),Desc_Categorias,0))</f>
        <v>0.1</v>
      </c>
      <c r="L8" s="70">
        <f>_xlfn.XLOOKUP(TB_Vendas[[#This Row],[Vendedor]],Vendedores!$A$5:$A$9,Vendedores!$D$6:$D$10)</f>
        <v>0</v>
      </c>
      <c r="M8" s="70">
        <f>IF(TB_Vendas[[#This Row],[Desconto (Diretão)]]&gt;TB_Vendas[[#This Row],[Desconto do Vendedor]],TB_Vendas[[#This Row],[Desconto do Vendedor]],TB_Vendas[[#This Row],[Desconto (Diretão)]])</f>
        <v>0</v>
      </c>
      <c r="N8" s="8">
        <f>TB_Vendas[[#This Row],[Preço Unitário]]*TB_Vendas[[#This Row],[Qtd]]</f>
        <v>46.9</v>
      </c>
      <c r="O8" s="1" t="s">
        <v>130</v>
      </c>
    </row>
    <row r="9" spans="1:15">
      <c r="A9" s="10">
        <f>MONTH(TB_Vendas[[#This Row],[Data]])</f>
        <v>1</v>
      </c>
      <c r="B9" s="10" t="str">
        <f>PROPER(TEXT(DATE(,TB_Vendas[[#This Row],[Nº]],1),"Mmm"))</f>
        <v>Jan</v>
      </c>
      <c r="C9" s="9">
        <v>44939</v>
      </c>
      <c r="D9" s="10" t="s">
        <v>48</v>
      </c>
      <c r="E9" s="10" t="str">
        <f>_xlfn.XLOOKUP(TB_Vendas[[#This Row],[Código]],TB_Produtos[Código],TB_Produtos[Categoria],"")</f>
        <v>Vestuário</v>
      </c>
      <c r="F9" s="1">
        <v>1</v>
      </c>
      <c r="G9" s="29">
        <f>VLOOKUP(TB_Vendas[[#This Row],[Código]],Produtos!$B$6:$G$66,6,0)</f>
        <v>29.9</v>
      </c>
      <c r="H9" s="125">
        <f>_xlfn.XMATCH(TB_Vendas[[#This Row],[Categoria]],Desc_Categorias,0)</f>
        <v>3</v>
      </c>
      <c r="I9" s="125" cm="1">
        <f t="array" ref="I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9" s="70">
        <f>VLOOKUP(TB_Vendas[[#This Row],[Qtd]],Desc_TabelaToda,TB_Vendas[[#This Row],[Indice]],TRUE)</f>
        <v>0.1</v>
      </c>
      <c r="K9" s="70" cm="1">
        <f t="array" ref="K9">INDEX(Desc_TabelaToda,MATCH(TB_Vendas[[#This Row],[Qtd]],Desc_Quantidades,1),MATCH(_xlfn.XLOOKUP(TB_Vendas[[#This Row],[Código]],TB_Produtos[[#All],[Código]],TB_Produtos[[#All],[Categoria]]),Desc_Categorias,0))</f>
        <v>0.1</v>
      </c>
      <c r="L9" s="70">
        <f>_xlfn.XLOOKUP(TB_Vendas[[#This Row],[Vendedor]],Vendedores!$A$5:$A$9,Vendedores!$D$6:$D$10)</f>
        <v>0.1</v>
      </c>
      <c r="M9" s="70">
        <f>IF(TB_Vendas[[#This Row],[Desconto (Diretão)]]&gt;TB_Vendas[[#This Row],[Desconto do Vendedor]],TB_Vendas[[#This Row],[Desconto do Vendedor]],TB_Vendas[[#This Row],[Desconto (Diretão)]])</f>
        <v>0.1</v>
      </c>
      <c r="N9" s="8">
        <f>TB_Vendas[[#This Row],[Preço Unitário]]*TB_Vendas[[#This Row],[Qtd]]</f>
        <v>29.9</v>
      </c>
      <c r="O9" s="1" t="s">
        <v>127</v>
      </c>
    </row>
    <row r="10" spans="1:15">
      <c r="A10" s="10">
        <f>MONTH(TB_Vendas[[#This Row],[Data]])</f>
        <v>1</v>
      </c>
      <c r="B10" s="10" t="str">
        <f>PROPER(TEXT(DATE(,TB_Vendas[[#This Row],[Nº]],1),"Mmm"))</f>
        <v>Jan</v>
      </c>
      <c r="C10" s="9">
        <v>44943</v>
      </c>
      <c r="D10" s="10" t="s">
        <v>56</v>
      </c>
      <c r="E10" s="10" t="str">
        <f>_xlfn.XLOOKUP(TB_Vendas[[#This Row],[Código]],TB_Produtos[Código],TB_Produtos[Categoria],"")</f>
        <v>Vestuário</v>
      </c>
      <c r="F10" s="1">
        <v>1</v>
      </c>
      <c r="G10" s="29">
        <f>VLOOKUP(TB_Vendas[[#This Row],[Código]],Produtos!$B$6:$G$66,6,0)</f>
        <v>299.89999999999998</v>
      </c>
      <c r="H10" s="125">
        <f>_xlfn.XMATCH(TB_Vendas[[#This Row],[Categoria]],Desc_Categorias,0)</f>
        <v>3</v>
      </c>
      <c r="I10" s="125" cm="1">
        <f t="array" ref="I1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10" s="70">
        <f>VLOOKUP(TB_Vendas[[#This Row],[Qtd]],Desc_TabelaToda,TB_Vendas[[#This Row],[Indice]],TRUE)</f>
        <v>0.1</v>
      </c>
      <c r="K10" s="70" cm="1">
        <f t="array" ref="K10">INDEX(Desc_TabelaToda,MATCH(TB_Vendas[[#This Row],[Qtd]],Desc_Quantidades,1),MATCH(_xlfn.XLOOKUP(TB_Vendas[[#This Row],[Código]],TB_Produtos[[#All],[Código]],TB_Produtos[[#All],[Categoria]]),Desc_Categorias,0))</f>
        <v>0.1</v>
      </c>
      <c r="L10" s="70">
        <f>_xlfn.XLOOKUP(TB_Vendas[[#This Row],[Vendedor]],Vendedores!$A$5:$A$9,Vendedores!$D$6:$D$10)</f>
        <v>0</v>
      </c>
      <c r="M10" s="70">
        <f>IF(TB_Vendas[[#This Row],[Desconto (Diretão)]]&gt;TB_Vendas[[#This Row],[Desconto do Vendedor]],TB_Vendas[[#This Row],[Desconto do Vendedor]],TB_Vendas[[#This Row],[Desconto (Diretão)]])</f>
        <v>0</v>
      </c>
      <c r="N10" s="8">
        <f>TB_Vendas[[#This Row],[Preço Unitário]]*TB_Vendas[[#This Row],[Qtd]]</f>
        <v>299.89999999999998</v>
      </c>
      <c r="O10" s="1" t="s">
        <v>130</v>
      </c>
    </row>
    <row r="11" spans="1:15">
      <c r="A11" s="10">
        <f>MONTH(TB_Vendas[[#This Row],[Data]])</f>
        <v>1</v>
      </c>
      <c r="B11" s="10" t="str">
        <f>PROPER(TEXT(DATE(,TB_Vendas[[#This Row],[Nº]],1),"Mmm"))</f>
        <v>Jan</v>
      </c>
      <c r="C11" s="9">
        <v>44949</v>
      </c>
      <c r="D11" s="10" t="s">
        <v>70</v>
      </c>
      <c r="E11" s="10" t="str">
        <f>_xlfn.XLOOKUP(TB_Vendas[[#This Row],[Código]],TB_Produtos[Código],TB_Produtos[Categoria],"")</f>
        <v>Vestuário</v>
      </c>
      <c r="F11" s="1">
        <v>1</v>
      </c>
      <c r="G11" s="29">
        <f>VLOOKUP(TB_Vendas[[#This Row],[Código]],Produtos!$B$6:$G$66,6,0)</f>
        <v>146</v>
      </c>
      <c r="H11" s="125">
        <f>_xlfn.XMATCH(TB_Vendas[[#This Row],[Categoria]],Desc_Categorias,0)</f>
        <v>3</v>
      </c>
      <c r="I11" s="125" cm="1">
        <f t="array" ref="I1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11" s="70">
        <f>VLOOKUP(TB_Vendas[[#This Row],[Qtd]],Desc_TabelaToda,TB_Vendas[[#This Row],[Indice]],TRUE)</f>
        <v>0.1</v>
      </c>
      <c r="K11" s="70" cm="1">
        <f t="array" ref="K11">INDEX(Desc_TabelaToda,MATCH(TB_Vendas[[#This Row],[Qtd]],Desc_Quantidades,1),MATCH(_xlfn.XLOOKUP(TB_Vendas[[#This Row],[Código]],TB_Produtos[[#All],[Código]],TB_Produtos[[#All],[Categoria]]),Desc_Categorias,0))</f>
        <v>0.1</v>
      </c>
      <c r="L11" s="70">
        <f>_xlfn.XLOOKUP(TB_Vendas[[#This Row],[Vendedor]],Vendedores!$A$5:$A$9,Vendedores!$D$6:$D$10)</f>
        <v>0.2</v>
      </c>
      <c r="M11" s="70">
        <f>IF(TB_Vendas[[#This Row],[Desconto (Diretão)]]&gt;TB_Vendas[[#This Row],[Desconto do Vendedor]],TB_Vendas[[#This Row],[Desconto do Vendedor]],TB_Vendas[[#This Row],[Desconto (Diretão)]])</f>
        <v>0.1</v>
      </c>
      <c r="N11" s="8">
        <f>TB_Vendas[[#This Row],[Preço Unitário]]*TB_Vendas[[#This Row],[Qtd]]</f>
        <v>146</v>
      </c>
      <c r="O11" s="1" t="s">
        <v>128</v>
      </c>
    </row>
    <row r="12" spans="1:15">
      <c r="A12" s="10">
        <f>MONTH(TB_Vendas[[#This Row],[Data]])</f>
        <v>1</v>
      </c>
      <c r="B12" s="10" t="str">
        <f>PROPER(TEXT(DATE(,TB_Vendas[[#This Row],[Nº]],1),"Mmm"))</f>
        <v>Jan</v>
      </c>
      <c r="C12" s="9">
        <v>44952</v>
      </c>
      <c r="D12" s="10" t="s">
        <v>65</v>
      </c>
      <c r="E12" s="10" t="str">
        <f>_xlfn.XLOOKUP(TB_Vendas[[#This Row],[Código]],TB_Produtos[Código],TB_Produtos[Categoria],"")</f>
        <v>Vestuário</v>
      </c>
      <c r="F12" s="1">
        <v>2</v>
      </c>
      <c r="G12" s="29">
        <f>VLOOKUP(TB_Vendas[[#This Row],[Código]],Produtos!$B$6:$G$66,6,0)</f>
        <v>89.9</v>
      </c>
      <c r="H12" s="125">
        <f>_xlfn.XMATCH(TB_Vendas[[#This Row],[Categoria]],Desc_Categorias,0)</f>
        <v>3</v>
      </c>
      <c r="I12" s="125" cm="1">
        <f t="array" ref="I1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12" s="70">
        <f>VLOOKUP(TB_Vendas[[#This Row],[Qtd]],Desc_TabelaToda,TB_Vendas[[#This Row],[Indice]],TRUE)</f>
        <v>0.15</v>
      </c>
      <c r="K12" s="70" cm="1">
        <f t="array" ref="K12">INDEX(Desc_TabelaToda,MATCH(TB_Vendas[[#This Row],[Qtd]],Desc_Quantidades,1),MATCH(_xlfn.XLOOKUP(TB_Vendas[[#This Row],[Código]],TB_Produtos[[#All],[Código]],TB_Produtos[[#All],[Categoria]]),Desc_Categorias,0))</f>
        <v>0.15</v>
      </c>
      <c r="L12" s="70">
        <f>_xlfn.XLOOKUP(TB_Vendas[[#This Row],[Vendedor]],Vendedores!$A$5:$A$9,Vendedores!$D$6:$D$10)</f>
        <v>0.2</v>
      </c>
      <c r="M12" s="70">
        <f>IF(TB_Vendas[[#This Row],[Desconto (Diretão)]]&gt;TB_Vendas[[#This Row],[Desconto do Vendedor]],TB_Vendas[[#This Row],[Desconto do Vendedor]],TB_Vendas[[#This Row],[Desconto (Diretão)]])</f>
        <v>0.15</v>
      </c>
      <c r="N12" s="8">
        <f>TB_Vendas[[#This Row],[Preço Unitário]]*TB_Vendas[[#This Row],[Qtd]]</f>
        <v>179.8</v>
      </c>
      <c r="O12" s="1" t="s">
        <v>128</v>
      </c>
    </row>
    <row r="13" spans="1:15">
      <c r="A13" s="10">
        <f>MONTH(TB_Vendas[[#This Row],[Data]])</f>
        <v>1</v>
      </c>
      <c r="B13" s="10" t="str">
        <f>PROPER(TEXT(DATE(,TB_Vendas[[#This Row],[Nº]],1),"Mmm"))</f>
        <v>Jan</v>
      </c>
      <c r="C13" s="9">
        <v>44954</v>
      </c>
      <c r="D13" s="10" t="s">
        <v>63</v>
      </c>
      <c r="E13" s="10" t="str">
        <f>_xlfn.XLOOKUP(TB_Vendas[[#This Row],[Código]],TB_Produtos[Código],TB_Produtos[Categoria],"")</f>
        <v>Calçado</v>
      </c>
      <c r="F13" s="1">
        <v>2</v>
      </c>
      <c r="G13" s="29">
        <f>VLOOKUP(TB_Vendas[[#This Row],[Código]],Produtos!$B$6:$G$66,6,0)</f>
        <v>250</v>
      </c>
      <c r="H13" s="125">
        <f>_xlfn.XMATCH(TB_Vendas[[#This Row],[Categoria]],Desc_Categorias,0)</f>
        <v>4</v>
      </c>
      <c r="I13" s="125" cm="1">
        <f t="array" ref="I1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13" s="70">
        <f>VLOOKUP(TB_Vendas[[#This Row],[Qtd]],Desc_TabelaToda,TB_Vendas[[#This Row],[Indice]],TRUE)</f>
        <v>0.1</v>
      </c>
      <c r="K13" s="70" cm="1">
        <f t="array" ref="K13">INDEX(Desc_TabelaToda,MATCH(TB_Vendas[[#This Row],[Qtd]],Desc_Quantidades,1),MATCH(_xlfn.XLOOKUP(TB_Vendas[[#This Row],[Código]],TB_Produtos[[#All],[Código]],TB_Produtos[[#All],[Categoria]]),Desc_Categorias,0))</f>
        <v>0.1</v>
      </c>
      <c r="L13" s="70">
        <f>_xlfn.XLOOKUP(TB_Vendas[[#This Row],[Vendedor]],Vendedores!$A$5:$A$9,Vendedores!$D$6:$D$10)</f>
        <v>0.1</v>
      </c>
      <c r="M13" s="70">
        <f>IF(TB_Vendas[[#This Row],[Desconto (Diretão)]]&gt;TB_Vendas[[#This Row],[Desconto do Vendedor]],TB_Vendas[[#This Row],[Desconto do Vendedor]],TB_Vendas[[#This Row],[Desconto (Diretão)]])</f>
        <v>0.1</v>
      </c>
      <c r="N13" s="8">
        <f>TB_Vendas[[#This Row],[Preço Unitário]]*TB_Vendas[[#This Row],[Qtd]]</f>
        <v>500</v>
      </c>
      <c r="O13" s="1" t="s">
        <v>127</v>
      </c>
    </row>
    <row r="14" spans="1:15">
      <c r="A14" s="10">
        <f>MONTH(TB_Vendas[[#This Row],[Data]])</f>
        <v>1</v>
      </c>
      <c r="B14" s="10" t="str">
        <f>PROPER(TEXT(DATE(,TB_Vendas[[#This Row],[Nº]],1),"Mmm"))</f>
        <v>Jan</v>
      </c>
      <c r="C14" s="9">
        <v>44955</v>
      </c>
      <c r="D14" s="10" t="s">
        <v>44</v>
      </c>
      <c r="E14" s="10" t="str">
        <f>_xlfn.XLOOKUP(TB_Vendas[[#This Row],[Código]],TB_Produtos[Código],TB_Produtos[Categoria],"")</f>
        <v>Vestuário</v>
      </c>
      <c r="F14" s="1">
        <v>1</v>
      </c>
      <c r="G14" s="29">
        <f>VLOOKUP(TB_Vendas[[#This Row],[Código]],Produtos!$B$6:$G$66,6,0)</f>
        <v>39.9</v>
      </c>
      <c r="H14" s="125">
        <f>_xlfn.XMATCH(TB_Vendas[[#This Row],[Categoria]],Desc_Categorias,0)</f>
        <v>3</v>
      </c>
      <c r="I14" s="125" cm="1">
        <f t="array" ref="I1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14" s="70">
        <f>VLOOKUP(TB_Vendas[[#This Row],[Qtd]],Desc_TabelaToda,TB_Vendas[[#This Row],[Indice]],TRUE)</f>
        <v>0.1</v>
      </c>
      <c r="K14" s="70" cm="1">
        <f t="array" ref="K14">INDEX(Desc_TabelaToda,MATCH(TB_Vendas[[#This Row],[Qtd]],Desc_Quantidades,1),MATCH(_xlfn.XLOOKUP(TB_Vendas[[#This Row],[Código]],TB_Produtos[[#All],[Código]],TB_Produtos[[#All],[Categoria]]),Desc_Categorias,0))</f>
        <v>0.1</v>
      </c>
      <c r="L14" s="70">
        <f>_xlfn.XLOOKUP(TB_Vendas[[#This Row],[Vendedor]],Vendedores!$A$5:$A$9,Vendedores!$D$6:$D$10)</f>
        <v>0.1</v>
      </c>
      <c r="M14" s="70">
        <f>IF(TB_Vendas[[#This Row],[Desconto (Diretão)]]&gt;TB_Vendas[[#This Row],[Desconto do Vendedor]],TB_Vendas[[#This Row],[Desconto do Vendedor]],TB_Vendas[[#This Row],[Desconto (Diretão)]])</f>
        <v>0.1</v>
      </c>
      <c r="N14" s="8">
        <f>TB_Vendas[[#This Row],[Preço Unitário]]*TB_Vendas[[#This Row],[Qtd]]</f>
        <v>39.9</v>
      </c>
      <c r="O14" s="1" t="s">
        <v>127</v>
      </c>
    </row>
    <row r="15" spans="1:15">
      <c r="A15" s="10">
        <f>MONTH(TB_Vendas[[#This Row],[Data]])</f>
        <v>1</v>
      </c>
      <c r="B15" s="10" t="str">
        <f>PROPER(TEXT(DATE(,TB_Vendas[[#This Row],[Nº]],1),"Mmm"))</f>
        <v>Jan</v>
      </c>
      <c r="C15" s="9">
        <v>44956</v>
      </c>
      <c r="D15" s="10" t="s">
        <v>69</v>
      </c>
      <c r="E15" s="10" t="str">
        <f>_xlfn.XLOOKUP(TB_Vendas[[#This Row],[Código]],TB_Produtos[Código],TB_Produtos[Categoria],"")</f>
        <v>Vestuário</v>
      </c>
      <c r="F15" s="1">
        <v>1</v>
      </c>
      <c r="G15" s="29">
        <f>VLOOKUP(TB_Vendas[[#This Row],[Código]],Produtos!$B$6:$G$66,6,0)</f>
        <v>142.9</v>
      </c>
      <c r="H15" s="125">
        <f>_xlfn.XMATCH(TB_Vendas[[#This Row],[Categoria]],Desc_Categorias,0)</f>
        <v>3</v>
      </c>
      <c r="I15" s="125" cm="1">
        <f t="array" ref="I1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15" s="70">
        <f>VLOOKUP(TB_Vendas[[#This Row],[Qtd]],Desc_TabelaToda,TB_Vendas[[#This Row],[Indice]],TRUE)</f>
        <v>0.1</v>
      </c>
      <c r="K15" s="70" cm="1">
        <f t="array" ref="K15">INDEX(Desc_TabelaToda,MATCH(TB_Vendas[[#This Row],[Qtd]],Desc_Quantidades,1),MATCH(_xlfn.XLOOKUP(TB_Vendas[[#This Row],[Código]],TB_Produtos[[#All],[Código]],TB_Produtos[[#All],[Categoria]]),Desc_Categorias,0))</f>
        <v>0.1</v>
      </c>
      <c r="L15" s="70">
        <f>_xlfn.XLOOKUP(TB_Vendas[[#This Row],[Vendedor]],Vendedores!$A$5:$A$9,Vendedores!$D$6:$D$10)</f>
        <v>0.15</v>
      </c>
      <c r="M15" s="70">
        <f>IF(TB_Vendas[[#This Row],[Desconto (Diretão)]]&gt;TB_Vendas[[#This Row],[Desconto do Vendedor]],TB_Vendas[[#This Row],[Desconto do Vendedor]],TB_Vendas[[#This Row],[Desconto (Diretão)]])</f>
        <v>0.1</v>
      </c>
      <c r="N15" s="8">
        <f>TB_Vendas[[#This Row],[Preço Unitário]]*TB_Vendas[[#This Row],[Qtd]]</f>
        <v>142.9</v>
      </c>
      <c r="O15" s="1" t="s">
        <v>129</v>
      </c>
    </row>
    <row r="16" spans="1:15">
      <c r="A16" s="10">
        <f>MONTH(TB_Vendas[[#This Row],[Data]])</f>
        <v>2</v>
      </c>
      <c r="B16" s="10" t="str">
        <f>PROPER(TEXT(DATE(,TB_Vendas[[#This Row],[Nº]],1),"Mmm"))</f>
        <v>Fev</v>
      </c>
      <c r="C16" s="9">
        <v>44960</v>
      </c>
      <c r="D16" s="10" t="s">
        <v>53</v>
      </c>
      <c r="E16" s="10" t="str">
        <f>_xlfn.XLOOKUP(TB_Vendas[[#This Row],[Código]],TB_Produtos[Código],TB_Produtos[Categoria],"")</f>
        <v>Vestuário</v>
      </c>
      <c r="F16" s="1">
        <v>1</v>
      </c>
      <c r="G16" s="29">
        <f>VLOOKUP(TB_Vendas[[#This Row],[Código]],Produtos!$B$6:$G$66,6,0)</f>
        <v>300</v>
      </c>
      <c r="H16" s="125">
        <f>_xlfn.XMATCH(TB_Vendas[[#This Row],[Categoria]],Desc_Categorias,0)</f>
        <v>3</v>
      </c>
      <c r="I16" s="125" cm="1">
        <f t="array" ref="I1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16" s="70">
        <f>VLOOKUP(TB_Vendas[[#This Row],[Qtd]],Desc_TabelaToda,TB_Vendas[[#This Row],[Indice]],TRUE)</f>
        <v>0.1</v>
      </c>
      <c r="K16" s="70" cm="1">
        <f t="array" ref="K16">INDEX(Desc_TabelaToda,MATCH(TB_Vendas[[#This Row],[Qtd]],Desc_Quantidades,1),MATCH(_xlfn.XLOOKUP(TB_Vendas[[#This Row],[Código]],TB_Produtos[[#All],[Código]],TB_Produtos[[#All],[Categoria]]),Desc_Categorias,0))</f>
        <v>0.1</v>
      </c>
      <c r="L16" s="70">
        <f>_xlfn.XLOOKUP(TB_Vendas[[#This Row],[Vendedor]],Vendedores!$A$5:$A$9,Vendedores!$D$6:$D$10)</f>
        <v>0.2</v>
      </c>
      <c r="M16" s="70">
        <f>IF(TB_Vendas[[#This Row],[Desconto (Diretão)]]&gt;TB_Vendas[[#This Row],[Desconto do Vendedor]],TB_Vendas[[#This Row],[Desconto do Vendedor]],TB_Vendas[[#This Row],[Desconto (Diretão)]])</f>
        <v>0.1</v>
      </c>
      <c r="N16" s="8">
        <f>TB_Vendas[[#This Row],[Preço Unitário]]*TB_Vendas[[#This Row],[Qtd]]</f>
        <v>300</v>
      </c>
      <c r="O16" s="1" t="s">
        <v>128</v>
      </c>
    </row>
    <row r="17" spans="1:15">
      <c r="A17" s="10">
        <f>MONTH(TB_Vendas[[#This Row],[Data]])</f>
        <v>2</v>
      </c>
      <c r="B17" s="10" t="str">
        <f>PROPER(TEXT(DATE(,TB_Vendas[[#This Row],[Nº]],1),"Mmm"))</f>
        <v>Fev</v>
      </c>
      <c r="C17" s="9">
        <v>44962</v>
      </c>
      <c r="D17" s="10" t="s">
        <v>106</v>
      </c>
      <c r="E17" s="10" t="str">
        <f>_xlfn.XLOOKUP(TB_Vendas[[#This Row],[Código]],TB_Produtos[Código],TB_Produtos[Categoria],"")</f>
        <v>Vestuário</v>
      </c>
      <c r="F17" s="1">
        <v>2</v>
      </c>
      <c r="G17" s="29">
        <f>VLOOKUP(TB_Vendas[[#This Row],[Código]],Produtos!$B$6:$G$66,6,0)</f>
        <v>289.89999999999998</v>
      </c>
      <c r="H17" s="125">
        <f>_xlfn.XMATCH(TB_Vendas[[#This Row],[Categoria]],Desc_Categorias,0)</f>
        <v>3</v>
      </c>
      <c r="I17" s="125" cm="1">
        <f t="array" ref="I1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17" s="70">
        <f>VLOOKUP(TB_Vendas[[#This Row],[Qtd]],Desc_TabelaToda,TB_Vendas[[#This Row],[Indice]],TRUE)</f>
        <v>0.15</v>
      </c>
      <c r="K17" s="70" cm="1">
        <f t="array" ref="K17">INDEX(Desc_TabelaToda,MATCH(TB_Vendas[[#This Row],[Qtd]],Desc_Quantidades,1),MATCH(_xlfn.XLOOKUP(TB_Vendas[[#This Row],[Código]],TB_Produtos[[#All],[Código]],TB_Produtos[[#All],[Categoria]]),Desc_Categorias,0))</f>
        <v>0.15</v>
      </c>
      <c r="L17" s="70">
        <f>_xlfn.XLOOKUP(TB_Vendas[[#This Row],[Vendedor]],Vendedores!$A$5:$A$9,Vendedores!$D$6:$D$10)</f>
        <v>0.15</v>
      </c>
      <c r="M17" s="70">
        <f>IF(TB_Vendas[[#This Row],[Desconto (Diretão)]]&gt;TB_Vendas[[#This Row],[Desconto do Vendedor]],TB_Vendas[[#This Row],[Desconto do Vendedor]],TB_Vendas[[#This Row],[Desconto (Diretão)]])</f>
        <v>0.15</v>
      </c>
      <c r="N17" s="8">
        <f>TB_Vendas[[#This Row],[Preço Unitário]]*TB_Vendas[[#This Row],[Qtd]]</f>
        <v>579.79999999999995</v>
      </c>
      <c r="O17" s="1" t="s">
        <v>129</v>
      </c>
    </row>
    <row r="18" spans="1:15">
      <c r="A18" s="10">
        <f>MONTH(TB_Vendas[[#This Row],[Data]])</f>
        <v>2</v>
      </c>
      <c r="B18" s="10" t="str">
        <f>PROPER(TEXT(DATE(,TB_Vendas[[#This Row],[Nº]],1),"Mmm"))</f>
        <v>Fev</v>
      </c>
      <c r="C18" s="9">
        <v>44975</v>
      </c>
      <c r="D18" s="10" t="s">
        <v>59</v>
      </c>
      <c r="E18" s="10" t="str">
        <f>_xlfn.XLOOKUP(TB_Vendas[[#This Row],[Código]],TB_Produtos[Código],TB_Produtos[Categoria],"")</f>
        <v>Calçado</v>
      </c>
      <c r="F18" s="1">
        <v>1</v>
      </c>
      <c r="G18" s="29">
        <f>VLOOKUP(TB_Vendas[[#This Row],[Código]],Produtos!$B$6:$G$66,6,0)</f>
        <v>249.9</v>
      </c>
      <c r="H18" s="125">
        <f>_xlfn.XMATCH(TB_Vendas[[#This Row],[Categoria]],Desc_Categorias,0)</f>
        <v>4</v>
      </c>
      <c r="I18" s="125" cm="1">
        <f t="array" ref="I1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</v>
      </c>
      <c r="J18" s="70">
        <f>VLOOKUP(TB_Vendas[[#This Row],[Qtd]],Desc_TabelaToda,TB_Vendas[[#This Row],[Indice]],TRUE)</f>
        <v>0</v>
      </c>
      <c r="K18" s="70" cm="1">
        <f t="array" ref="K18">INDEX(Desc_TabelaToda,MATCH(TB_Vendas[[#This Row],[Qtd]],Desc_Quantidades,1),MATCH(_xlfn.XLOOKUP(TB_Vendas[[#This Row],[Código]],TB_Produtos[[#All],[Código]],TB_Produtos[[#All],[Categoria]]),Desc_Categorias,0))</f>
        <v>0</v>
      </c>
      <c r="L18" s="70">
        <f>_xlfn.XLOOKUP(TB_Vendas[[#This Row],[Vendedor]],Vendedores!$A$5:$A$9,Vendedores!$D$6:$D$10)</f>
        <v>0.15</v>
      </c>
      <c r="M18" s="70">
        <f>IF(TB_Vendas[[#This Row],[Desconto (Diretão)]]&gt;TB_Vendas[[#This Row],[Desconto do Vendedor]],TB_Vendas[[#This Row],[Desconto do Vendedor]],TB_Vendas[[#This Row],[Desconto (Diretão)]])</f>
        <v>0</v>
      </c>
      <c r="N18" s="8">
        <f>TB_Vendas[[#This Row],[Preço Unitário]]*TB_Vendas[[#This Row],[Qtd]]</f>
        <v>249.9</v>
      </c>
      <c r="O18" s="1" t="s">
        <v>129</v>
      </c>
    </row>
    <row r="19" spans="1:15">
      <c r="A19" s="10">
        <f>MONTH(TB_Vendas[[#This Row],[Data]])</f>
        <v>2</v>
      </c>
      <c r="B19" s="10" t="str">
        <f>PROPER(TEXT(DATE(,TB_Vendas[[#This Row],[Nº]],1),"Mmm"))</f>
        <v>Fev</v>
      </c>
      <c r="C19" s="9">
        <v>44978</v>
      </c>
      <c r="D19" s="10" t="s">
        <v>44</v>
      </c>
      <c r="E19" s="10" t="str">
        <f>_xlfn.XLOOKUP(TB_Vendas[[#This Row],[Código]],TB_Produtos[Código],TB_Produtos[Categoria],"")</f>
        <v>Vestuário</v>
      </c>
      <c r="F19" s="1">
        <v>2</v>
      </c>
      <c r="G19" s="29">
        <f>VLOOKUP(TB_Vendas[[#This Row],[Código]],Produtos!$B$6:$G$66,6,0)</f>
        <v>39.9</v>
      </c>
      <c r="H19" s="125">
        <f>_xlfn.XMATCH(TB_Vendas[[#This Row],[Categoria]],Desc_Categorias,0)</f>
        <v>3</v>
      </c>
      <c r="I19" s="125" cm="1">
        <f t="array" ref="I1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19" s="70">
        <f>VLOOKUP(TB_Vendas[[#This Row],[Qtd]],Desc_TabelaToda,TB_Vendas[[#This Row],[Indice]],TRUE)</f>
        <v>0.15</v>
      </c>
      <c r="K19" s="70" cm="1">
        <f t="array" ref="K19">INDEX(Desc_TabelaToda,MATCH(TB_Vendas[[#This Row],[Qtd]],Desc_Quantidades,1),MATCH(_xlfn.XLOOKUP(TB_Vendas[[#This Row],[Código]],TB_Produtos[[#All],[Código]],TB_Produtos[[#All],[Categoria]]),Desc_Categorias,0))</f>
        <v>0.15</v>
      </c>
      <c r="L19" s="70">
        <f>_xlfn.XLOOKUP(TB_Vendas[[#This Row],[Vendedor]],Vendedores!$A$5:$A$9,Vendedores!$D$6:$D$10)</f>
        <v>0.15</v>
      </c>
      <c r="M19" s="70">
        <f>IF(TB_Vendas[[#This Row],[Desconto (Diretão)]]&gt;TB_Vendas[[#This Row],[Desconto do Vendedor]],TB_Vendas[[#This Row],[Desconto do Vendedor]],TB_Vendas[[#This Row],[Desconto (Diretão)]])</f>
        <v>0.15</v>
      </c>
      <c r="N19" s="8">
        <f>TB_Vendas[[#This Row],[Preço Unitário]]*TB_Vendas[[#This Row],[Qtd]]</f>
        <v>79.8</v>
      </c>
      <c r="O19" s="1" t="s">
        <v>129</v>
      </c>
    </row>
    <row r="20" spans="1:15">
      <c r="A20" s="10">
        <f>MONTH(TB_Vendas[[#This Row],[Data]])</f>
        <v>2</v>
      </c>
      <c r="B20" s="10" t="str">
        <f>PROPER(TEXT(DATE(,TB_Vendas[[#This Row],[Nº]],1),"Mmm"))</f>
        <v>Fev</v>
      </c>
      <c r="C20" s="9">
        <v>44981</v>
      </c>
      <c r="D20" s="10" t="s">
        <v>103</v>
      </c>
      <c r="E20" s="10" t="str">
        <f>_xlfn.XLOOKUP(TB_Vendas[[#This Row],[Código]],TB_Produtos[Código],TB_Produtos[Categoria],"")</f>
        <v>Vestuário</v>
      </c>
      <c r="F20" s="1">
        <v>4</v>
      </c>
      <c r="G20" s="29">
        <f>VLOOKUP(TB_Vendas[[#This Row],[Código]],Produtos!$B$6:$G$66,6,0)</f>
        <v>289.89999999999998</v>
      </c>
      <c r="H20" s="125">
        <f>_xlfn.XMATCH(TB_Vendas[[#This Row],[Categoria]],Desc_Categorias,0)</f>
        <v>3</v>
      </c>
      <c r="I20" s="125" cm="1">
        <f t="array" ref="I2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20" s="70">
        <f>VLOOKUP(TB_Vendas[[#This Row],[Qtd]],Desc_TabelaToda,TB_Vendas[[#This Row],[Indice]],TRUE)</f>
        <v>0.2</v>
      </c>
      <c r="K20" s="70" cm="1">
        <f t="array" ref="K20">INDEX(Desc_TabelaToda,MATCH(TB_Vendas[[#This Row],[Qtd]],Desc_Quantidades,1),MATCH(_xlfn.XLOOKUP(TB_Vendas[[#This Row],[Código]],TB_Produtos[[#All],[Código]],TB_Produtos[[#All],[Categoria]]),Desc_Categorias,0))</f>
        <v>0.2</v>
      </c>
      <c r="L20" s="70">
        <f>_xlfn.XLOOKUP(TB_Vendas[[#This Row],[Vendedor]],Vendedores!$A$5:$A$9,Vendedores!$D$6:$D$10)</f>
        <v>0.15</v>
      </c>
      <c r="M20" s="70">
        <f>IF(TB_Vendas[[#This Row],[Desconto (Diretão)]]&gt;TB_Vendas[[#This Row],[Desconto do Vendedor]],TB_Vendas[[#This Row],[Desconto do Vendedor]],TB_Vendas[[#This Row],[Desconto (Diretão)]])</f>
        <v>0.15</v>
      </c>
      <c r="N20" s="8">
        <f>TB_Vendas[[#This Row],[Preço Unitário]]*TB_Vendas[[#This Row],[Qtd]]</f>
        <v>1159.5999999999999</v>
      </c>
      <c r="O20" s="1" t="s">
        <v>129</v>
      </c>
    </row>
    <row r="21" spans="1:15">
      <c r="A21" s="10">
        <f>MONTH(TB_Vendas[[#This Row],[Data]])</f>
        <v>2</v>
      </c>
      <c r="B21" s="10" t="str">
        <f>PROPER(TEXT(DATE(,TB_Vendas[[#This Row],[Nº]],1),"Mmm"))</f>
        <v>Fev</v>
      </c>
      <c r="C21" s="9">
        <v>44982</v>
      </c>
      <c r="D21" s="10" t="s">
        <v>123</v>
      </c>
      <c r="E21" s="10" t="str">
        <f>_xlfn.XLOOKUP(TB_Vendas[[#This Row],[Código]],TB_Produtos[Código],TB_Produtos[Categoria],"")</f>
        <v>Vestuário</v>
      </c>
      <c r="F21" s="1">
        <v>3</v>
      </c>
      <c r="G21" s="29">
        <f>VLOOKUP(TB_Vendas[[#This Row],[Código]],Produtos!$B$6:$G$66,6,0)</f>
        <v>180</v>
      </c>
      <c r="H21" s="125">
        <f>_xlfn.XMATCH(TB_Vendas[[#This Row],[Categoria]],Desc_Categorias,0)</f>
        <v>3</v>
      </c>
      <c r="I21" s="125" cm="1">
        <f t="array" ref="I2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21" s="70">
        <f>VLOOKUP(TB_Vendas[[#This Row],[Qtd]],Desc_TabelaToda,TB_Vendas[[#This Row],[Indice]],TRUE)</f>
        <v>0.2</v>
      </c>
      <c r="K21" s="70" cm="1">
        <f t="array" ref="K21">INDEX(Desc_TabelaToda,MATCH(TB_Vendas[[#This Row],[Qtd]],Desc_Quantidades,1),MATCH(_xlfn.XLOOKUP(TB_Vendas[[#This Row],[Código]],TB_Produtos[[#All],[Código]],TB_Produtos[[#All],[Categoria]]),Desc_Categorias,0))</f>
        <v>0.2</v>
      </c>
      <c r="L21" s="70">
        <f>_xlfn.XLOOKUP(TB_Vendas[[#This Row],[Vendedor]],Vendedores!$A$5:$A$9,Vendedores!$D$6:$D$10)</f>
        <v>0.1</v>
      </c>
      <c r="M21" s="70">
        <f>IF(TB_Vendas[[#This Row],[Desconto (Diretão)]]&gt;TB_Vendas[[#This Row],[Desconto do Vendedor]],TB_Vendas[[#This Row],[Desconto do Vendedor]],TB_Vendas[[#This Row],[Desconto (Diretão)]])</f>
        <v>0.1</v>
      </c>
      <c r="N21" s="8">
        <f>TB_Vendas[[#This Row],[Preço Unitário]]*TB_Vendas[[#This Row],[Qtd]]</f>
        <v>540</v>
      </c>
      <c r="O21" s="1" t="s">
        <v>127</v>
      </c>
    </row>
    <row r="22" spans="1:15">
      <c r="A22" s="10">
        <f>MONTH(TB_Vendas[[#This Row],[Data]])</f>
        <v>2</v>
      </c>
      <c r="B22" s="10" t="str">
        <f>PROPER(TEXT(DATE(,TB_Vendas[[#This Row],[Nº]],1),"Mmm"))</f>
        <v>Fev</v>
      </c>
      <c r="C22" s="9">
        <v>44983</v>
      </c>
      <c r="D22" s="10" t="s">
        <v>109</v>
      </c>
      <c r="E22" s="10" t="str">
        <f>_xlfn.XLOOKUP(TB_Vendas[[#This Row],[Código]],TB_Produtos[Código],TB_Produtos[Categoria],"")</f>
        <v>Vestuário</v>
      </c>
      <c r="F22" s="1">
        <v>2</v>
      </c>
      <c r="G22" s="29">
        <f>VLOOKUP(TB_Vendas[[#This Row],[Código]],Produtos!$B$6:$G$66,6,0)</f>
        <v>32.9</v>
      </c>
      <c r="H22" s="125">
        <f>_xlfn.XMATCH(TB_Vendas[[#This Row],[Categoria]],Desc_Categorias,0)</f>
        <v>3</v>
      </c>
      <c r="I22" s="125" cm="1">
        <f t="array" ref="I2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22" s="70">
        <f>VLOOKUP(TB_Vendas[[#This Row],[Qtd]],Desc_TabelaToda,TB_Vendas[[#This Row],[Indice]],TRUE)</f>
        <v>0.15</v>
      </c>
      <c r="K22" s="70" cm="1">
        <f t="array" ref="K22">INDEX(Desc_TabelaToda,MATCH(TB_Vendas[[#This Row],[Qtd]],Desc_Quantidades,1),MATCH(_xlfn.XLOOKUP(TB_Vendas[[#This Row],[Código]],TB_Produtos[[#All],[Código]],TB_Produtos[[#All],[Categoria]]),Desc_Categorias,0))</f>
        <v>0.15</v>
      </c>
      <c r="L22" s="70">
        <f>_xlfn.XLOOKUP(TB_Vendas[[#This Row],[Vendedor]],Vendedores!$A$5:$A$9,Vendedores!$D$6:$D$10)</f>
        <v>0.25</v>
      </c>
      <c r="M22" s="70">
        <f>IF(TB_Vendas[[#This Row],[Desconto (Diretão)]]&gt;TB_Vendas[[#This Row],[Desconto do Vendedor]],TB_Vendas[[#This Row],[Desconto do Vendedor]],TB_Vendas[[#This Row],[Desconto (Diretão)]])</f>
        <v>0.15</v>
      </c>
      <c r="N22" s="8">
        <f>TB_Vendas[[#This Row],[Preço Unitário]]*TB_Vendas[[#This Row],[Qtd]]</f>
        <v>65.8</v>
      </c>
      <c r="O22" s="1" t="s">
        <v>126</v>
      </c>
    </row>
    <row r="23" spans="1:15">
      <c r="A23" s="10">
        <f>MONTH(TB_Vendas[[#This Row],[Data]])</f>
        <v>3</v>
      </c>
      <c r="B23" s="10" t="str">
        <f>PROPER(TEXT(DATE(,TB_Vendas[[#This Row],[Nº]],1),"Mmm"))</f>
        <v>Mar</v>
      </c>
      <c r="C23" s="9">
        <v>44986</v>
      </c>
      <c r="D23" s="10" t="s">
        <v>60</v>
      </c>
      <c r="E23" s="10" t="str">
        <f>_xlfn.XLOOKUP(TB_Vendas[[#This Row],[Código]],TB_Produtos[Código],TB_Produtos[Categoria],"")</f>
        <v>Calçado</v>
      </c>
      <c r="F23" s="1">
        <v>3</v>
      </c>
      <c r="G23" s="29">
        <f>VLOOKUP(TB_Vendas[[#This Row],[Código]],Produtos!$B$6:$G$66,6,0)</f>
        <v>255</v>
      </c>
      <c r="H23" s="125">
        <f>_xlfn.XMATCH(TB_Vendas[[#This Row],[Categoria]],Desc_Categorias,0)</f>
        <v>4</v>
      </c>
      <c r="I23" s="125" cm="1">
        <f t="array" ref="I2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23" s="70">
        <f>VLOOKUP(TB_Vendas[[#This Row],[Qtd]],Desc_TabelaToda,TB_Vendas[[#This Row],[Indice]],TRUE)</f>
        <v>0.15</v>
      </c>
      <c r="K23" s="70" cm="1">
        <f t="array" ref="K23">INDEX(Desc_TabelaToda,MATCH(TB_Vendas[[#This Row],[Qtd]],Desc_Quantidades,1),MATCH(_xlfn.XLOOKUP(TB_Vendas[[#This Row],[Código]],TB_Produtos[[#All],[Código]],TB_Produtos[[#All],[Categoria]]),Desc_Categorias,0))</f>
        <v>0.15</v>
      </c>
      <c r="L23" s="70">
        <f>_xlfn.XLOOKUP(TB_Vendas[[#This Row],[Vendedor]],Vendedores!$A$5:$A$9,Vendedores!$D$6:$D$10)</f>
        <v>0.15</v>
      </c>
      <c r="M23" s="70">
        <f>IF(TB_Vendas[[#This Row],[Desconto (Diretão)]]&gt;TB_Vendas[[#This Row],[Desconto do Vendedor]],TB_Vendas[[#This Row],[Desconto do Vendedor]],TB_Vendas[[#This Row],[Desconto (Diretão)]])</f>
        <v>0.15</v>
      </c>
      <c r="N23" s="8">
        <f>TB_Vendas[[#This Row],[Preço Unitário]]*TB_Vendas[[#This Row],[Qtd]]</f>
        <v>765</v>
      </c>
      <c r="O23" s="1" t="s">
        <v>129</v>
      </c>
    </row>
    <row r="24" spans="1:15">
      <c r="A24" s="10">
        <f>MONTH(TB_Vendas[[#This Row],[Data]])</f>
        <v>3</v>
      </c>
      <c r="B24" s="10" t="str">
        <f>PROPER(TEXT(DATE(,TB_Vendas[[#This Row],[Nº]],1),"Mmm"))</f>
        <v>Mar</v>
      </c>
      <c r="C24" s="9">
        <v>44986</v>
      </c>
      <c r="D24" s="10" t="s">
        <v>69</v>
      </c>
      <c r="E24" s="10" t="str">
        <f>_xlfn.XLOOKUP(TB_Vendas[[#This Row],[Código]],TB_Produtos[Código],TB_Produtos[Categoria],"")</f>
        <v>Vestuário</v>
      </c>
      <c r="F24" s="1">
        <v>1</v>
      </c>
      <c r="G24" s="29">
        <f>VLOOKUP(TB_Vendas[[#This Row],[Código]],Produtos!$B$6:$G$66,6,0)</f>
        <v>142.9</v>
      </c>
      <c r="H24" s="125">
        <f>_xlfn.XMATCH(TB_Vendas[[#This Row],[Categoria]],Desc_Categorias,0)</f>
        <v>3</v>
      </c>
      <c r="I24" s="125" cm="1">
        <f t="array" ref="I2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24" s="70">
        <f>VLOOKUP(TB_Vendas[[#This Row],[Qtd]],Desc_TabelaToda,TB_Vendas[[#This Row],[Indice]],TRUE)</f>
        <v>0.1</v>
      </c>
      <c r="K24" s="70" cm="1">
        <f t="array" ref="K24">INDEX(Desc_TabelaToda,MATCH(TB_Vendas[[#This Row],[Qtd]],Desc_Quantidades,1),MATCH(_xlfn.XLOOKUP(TB_Vendas[[#This Row],[Código]],TB_Produtos[[#All],[Código]],TB_Produtos[[#All],[Categoria]]),Desc_Categorias,0))</f>
        <v>0.1</v>
      </c>
      <c r="L24" s="70">
        <f>_xlfn.XLOOKUP(TB_Vendas[[#This Row],[Vendedor]],Vendedores!$A$5:$A$9,Vendedores!$D$6:$D$10)</f>
        <v>0.25</v>
      </c>
      <c r="M24" s="70">
        <f>IF(TB_Vendas[[#This Row],[Desconto (Diretão)]]&gt;TB_Vendas[[#This Row],[Desconto do Vendedor]],TB_Vendas[[#This Row],[Desconto do Vendedor]],TB_Vendas[[#This Row],[Desconto (Diretão)]])</f>
        <v>0.1</v>
      </c>
      <c r="N24" s="8">
        <f>TB_Vendas[[#This Row],[Preço Unitário]]*TB_Vendas[[#This Row],[Qtd]]</f>
        <v>142.9</v>
      </c>
      <c r="O24" s="1" t="s">
        <v>126</v>
      </c>
    </row>
    <row r="25" spans="1:15">
      <c r="A25" s="10">
        <f>MONTH(TB_Vendas[[#This Row],[Data]])</f>
        <v>3</v>
      </c>
      <c r="B25" s="10" t="str">
        <f>PROPER(TEXT(DATE(,TB_Vendas[[#This Row],[Nº]],1),"Mmm"))</f>
        <v>Mar</v>
      </c>
      <c r="C25" s="9">
        <v>44987</v>
      </c>
      <c r="D25" s="10" t="s">
        <v>40</v>
      </c>
      <c r="E25" s="10" t="str">
        <f>_xlfn.XLOOKUP(TB_Vendas[[#This Row],[Código]],TB_Produtos[Código],TB_Produtos[Categoria],"")</f>
        <v>Vestuário</v>
      </c>
      <c r="F25" s="1">
        <v>4</v>
      </c>
      <c r="G25" s="29">
        <f>VLOOKUP(TB_Vendas[[#This Row],[Código]],Produtos!$B$6:$G$66,6,0)</f>
        <v>92.9</v>
      </c>
      <c r="H25" s="125">
        <f>_xlfn.XMATCH(TB_Vendas[[#This Row],[Categoria]],Desc_Categorias,0)</f>
        <v>3</v>
      </c>
      <c r="I25" s="125" cm="1">
        <f t="array" ref="I2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25" s="70">
        <f>VLOOKUP(TB_Vendas[[#This Row],[Qtd]],Desc_TabelaToda,TB_Vendas[[#This Row],[Indice]],TRUE)</f>
        <v>0.2</v>
      </c>
      <c r="K25" s="70" cm="1">
        <f t="array" ref="K25">INDEX(Desc_TabelaToda,MATCH(TB_Vendas[[#This Row],[Qtd]],Desc_Quantidades,1),MATCH(_xlfn.XLOOKUP(TB_Vendas[[#This Row],[Código]],TB_Produtos[[#All],[Código]],TB_Produtos[[#All],[Categoria]]),Desc_Categorias,0))</f>
        <v>0.2</v>
      </c>
      <c r="L25" s="70">
        <f>_xlfn.XLOOKUP(TB_Vendas[[#This Row],[Vendedor]],Vendedores!$A$5:$A$9,Vendedores!$D$6:$D$10)</f>
        <v>0.2</v>
      </c>
      <c r="M25" s="70">
        <f>IF(TB_Vendas[[#This Row],[Desconto (Diretão)]]&gt;TB_Vendas[[#This Row],[Desconto do Vendedor]],TB_Vendas[[#This Row],[Desconto do Vendedor]],TB_Vendas[[#This Row],[Desconto (Diretão)]])</f>
        <v>0.2</v>
      </c>
      <c r="N25" s="8">
        <f>TB_Vendas[[#This Row],[Preço Unitário]]*TB_Vendas[[#This Row],[Qtd]]</f>
        <v>371.6</v>
      </c>
      <c r="O25" s="1" t="s">
        <v>128</v>
      </c>
    </row>
    <row r="26" spans="1:15">
      <c r="A26" s="10">
        <f>MONTH(TB_Vendas[[#This Row],[Data]])</f>
        <v>3</v>
      </c>
      <c r="B26" s="10" t="str">
        <f>PROPER(TEXT(DATE(,TB_Vendas[[#This Row],[Nº]],1),"Mmm"))</f>
        <v>Mar</v>
      </c>
      <c r="C26" s="9">
        <v>44988</v>
      </c>
      <c r="D26" s="10" t="s">
        <v>98</v>
      </c>
      <c r="E26" s="10" t="str">
        <f>_xlfn.XLOOKUP(TB_Vendas[[#This Row],[Código]],TB_Produtos[Código],TB_Produtos[Categoria],"")</f>
        <v>Vestuário</v>
      </c>
      <c r="F26" s="1">
        <v>2</v>
      </c>
      <c r="G26" s="29">
        <f>VLOOKUP(TB_Vendas[[#This Row],[Código]],Produtos!$B$6:$G$66,6,0)</f>
        <v>54.9</v>
      </c>
      <c r="H26" s="125">
        <f>_xlfn.XMATCH(TB_Vendas[[#This Row],[Categoria]],Desc_Categorias,0)</f>
        <v>3</v>
      </c>
      <c r="I26" s="125" cm="1">
        <f t="array" ref="I2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26" s="70">
        <f>VLOOKUP(TB_Vendas[[#This Row],[Qtd]],Desc_TabelaToda,TB_Vendas[[#This Row],[Indice]],TRUE)</f>
        <v>0.15</v>
      </c>
      <c r="K26" s="70" cm="1">
        <f t="array" ref="K26">INDEX(Desc_TabelaToda,MATCH(TB_Vendas[[#This Row],[Qtd]],Desc_Quantidades,1),MATCH(_xlfn.XLOOKUP(TB_Vendas[[#This Row],[Código]],TB_Produtos[[#All],[Código]],TB_Produtos[[#All],[Categoria]]),Desc_Categorias,0))</f>
        <v>0.15</v>
      </c>
      <c r="L26" s="70">
        <f>_xlfn.XLOOKUP(TB_Vendas[[#This Row],[Vendedor]],Vendedores!$A$5:$A$9,Vendedores!$D$6:$D$10)</f>
        <v>0.25</v>
      </c>
      <c r="M26" s="70">
        <f>IF(TB_Vendas[[#This Row],[Desconto (Diretão)]]&gt;TB_Vendas[[#This Row],[Desconto do Vendedor]],TB_Vendas[[#This Row],[Desconto do Vendedor]],TB_Vendas[[#This Row],[Desconto (Diretão)]])</f>
        <v>0.15</v>
      </c>
      <c r="N26" s="8">
        <f>TB_Vendas[[#This Row],[Preço Unitário]]*TB_Vendas[[#This Row],[Qtd]]</f>
        <v>109.8</v>
      </c>
      <c r="O26" s="1" t="s">
        <v>126</v>
      </c>
    </row>
    <row r="27" spans="1:15">
      <c r="A27" s="10">
        <f>MONTH(TB_Vendas[[#This Row],[Data]])</f>
        <v>3</v>
      </c>
      <c r="B27" s="10" t="str">
        <f>PROPER(TEXT(DATE(,TB_Vendas[[#This Row],[Nº]],1),"Mmm"))</f>
        <v>Mar</v>
      </c>
      <c r="C27" s="9">
        <v>44989</v>
      </c>
      <c r="D27" s="10" t="s">
        <v>69</v>
      </c>
      <c r="E27" s="10" t="str">
        <f>_xlfn.XLOOKUP(TB_Vendas[[#This Row],[Código]],TB_Produtos[Código],TB_Produtos[Categoria],"")</f>
        <v>Vestuário</v>
      </c>
      <c r="F27" s="1">
        <v>3</v>
      </c>
      <c r="G27" s="29">
        <f>VLOOKUP(TB_Vendas[[#This Row],[Código]],Produtos!$B$6:$G$66,6,0)</f>
        <v>142.9</v>
      </c>
      <c r="H27" s="125">
        <f>_xlfn.XMATCH(TB_Vendas[[#This Row],[Categoria]],Desc_Categorias,0)</f>
        <v>3</v>
      </c>
      <c r="I27" s="125" cm="1">
        <f t="array" ref="I2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27" s="70">
        <f>VLOOKUP(TB_Vendas[[#This Row],[Qtd]],Desc_TabelaToda,TB_Vendas[[#This Row],[Indice]],TRUE)</f>
        <v>0.2</v>
      </c>
      <c r="K27" s="70" cm="1">
        <f t="array" ref="K27">INDEX(Desc_TabelaToda,MATCH(TB_Vendas[[#This Row],[Qtd]],Desc_Quantidades,1),MATCH(_xlfn.XLOOKUP(TB_Vendas[[#This Row],[Código]],TB_Produtos[[#All],[Código]],TB_Produtos[[#All],[Categoria]]),Desc_Categorias,0))</f>
        <v>0.2</v>
      </c>
      <c r="L27" s="70">
        <f>_xlfn.XLOOKUP(TB_Vendas[[#This Row],[Vendedor]],Vendedores!$A$5:$A$9,Vendedores!$D$6:$D$10)</f>
        <v>0.1</v>
      </c>
      <c r="M27" s="70">
        <f>IF(TB_Vendas[[#This Row],[Desconto (Diretão)]]&gt;TB_Vendas[[#This Row],[Desconto do Vendedor]],TB_Vendas[[#This Row],[Desconto do Vendedor]],TB_Vendas[[#This Row],[Desconto (Diretão)]])</f>
        <v>0.1</v>
      </c>
      <c r="N27" s="8">
        <f>TB_Vendas[[#This Row],[Preço Unitário]]*TB_Vendas[[#This Row],[Qtd]]</f>
        <v>428.70000000000005</v>
      </c>
      <c r="O27" s="1" t="s">
        <v>127</v>
      </c>
    </row>
    <row r="28" spans="1:15">
      <c r="A28" s="10">
        <f>MONTH(TB_Vendas[[#This Row],[Data]])</f>
        <v>3</v>
      </c>
      <c r="B28" s="10" t="str">
        <f>PROPER(TEXT(DATE(,TB_Vendas[[#This Row],[Nº]],1),"Mmm"))</f>
        <v>Mar</v>
      </c>
      <c r="C28" s="9">
        <v>44994</v>
      </c>
      <c r="D28" s="10" t="s">
        <v>58</v>
      </c>
      <c r="E28" s="10" t="str">
        <f>_xlfn.XLOOKUP(TB_Vendas[[#This Row],[Código]],TB_Produtos[Código],TB_Produtos[Categoria],"")</f>
        <v>Acessórios</v>
      </c>
      <c r="F28" s="1">
        <v>2</v>
      </c>
      <c r="G28" s="29">
        <f>VLOOKUP(TB_Vendas[[#This Row],[Código]],Produtos!$B$6:$G$66,6,0)</f>
        <v>120</v>
      </c>
      <c r="H28" s="125">
        <f>_xlfn.XMATCH(TB_Vendas[[#This Row],[Categoria]],Desc_Categorias,0)</f>
        <v>2</v>
      </c>
      <c r="I28" s="125" cm="1">
        <f t="array" ref="I2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0.05</v>
      </c>
      <c r="J28" s="70">
        <f>VLOOKUP(TB_Vendas[[#This Row],[Qtd]],Desc_TabelaToda,TB_Vendas[[#This Row],[Indice]],TRUE)</f>
        <v>0.05</v>
      </c>
      <c r="K28" s="70" cm="1">
        <f t="array" ref="K28">INDEX(Desc_TabelaToda,MATCH(TB_Vendas[[#This Row],[Qtd]],Desc_Quantidades,1),MATCH(_xlfn.XLOOKUP(TB_Vendas[[#This Row],[Código]],TB_Produtos[[#All],[Código]],TB_Produtos[[#All],[Categoria]]),Desc_Categorias,0))</f>
        <v>0.05</v>
      </c>
      <c r="L28" s="70">
        <f>_xlfn.XLOOKUP(TB_Vendas[[#This Row],[Vendedor]],Vendedores!$A$5:$A$9,Vendedores!$D$6:$D$10)</f>
        <v>0.1</v>
      </c>
      <c r="M28" s="70">
        <f>IF(TB_Vendas[[#This Row],[Desconto (Diretão)]]&gt;TB_Vendas[[#This Row],[Desconto do Vendedor]],TB_Vendas[[#This Row],[Desconto do Vendedor]],TB_Vendas[[#This Row],[Desconto (Diretão)]])</f>
        <v>0.05</v>
      </c>
      <c r="N28" s="8">
        <f>TB_Vendas[[#This Row],[Preço Unitário]]*TB_Vendas[[#This Row],[Qtd]]</f>
        <v>240</v>
      </c>
      <c r="O28" s="1" t="s">
        <v>127</v>
      </c>
    </row>
    <row r="29" spans="1:15">
      <c r="A29" s="10">
        <f>MONTH(TB_Vendas[[#This Row],[Data]])</f>
        <v>3</v>
      </c>
      <c r="B29" s="10" t="str">
        <f>PROPER(TEXT(DATE(,TB_Vendas[[#This Row],[Nº]],1),"Mmm"))</f>
        <v>Mar</v>
      </c>
      <c r="C29" s="9">
        <v>44999</v>
      </c>
      <c r="D29" s="10" t="s">
        <v>32</v>
      </c>
      <c r="E29" s="10" t="str">
        <f>_xlfn.XLOOKUP(TB_Vendas[[#This Row],[Código]],TB_Produtos[Código],TB_Produtos[Categoria],"")</f>
        <v>Vestuário</v>
      </c>
      <c r="F29" s="1">
        <v>1</v>
      </c>
      <c r="G29" s="29">
        <f>VLOOKUP(TB_Vendas[[#This Row],[Código]],Produtos!$B$6:$G$66,6,0)</f>
        <v>65.900000000000006</v>
      </c>
      <c r="H29" s="125">
        <f>_xlfn.XMATCH(TB_Vendas[[#This Row],[Categoria]],Desc_Categorias,0)</f>
        <v>3</v>
      </c>
      <c r="I29" s="125" cm="1">
        <f t="array" ref="I2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29" s="70">
        <f>VLOOKUP(TB_Vendas[[#This Row],[Qtd]],Desc_TabelaToda,TB_Vendas[[#This Row],[Indice]],TRUE)</f>
        <v>0.1</v>
      </c>
      <c r="K29" s="70" cm="1">
        <f t="array" ref="K29">INDEX(Desc_TabelaToda,MATCH(TB_Vendas[[#This Row],[Qtd]],Desc_Quantidades,1),MATCH(_xlfn.XLOOKUP(TB_Vendas[[#This Row],[Código]],TB_Produtos[[#All],[Código]],TB_Produtos[[#All],[Categoria]]),Desc_Categorias,0))</f>
        <v>0.1</v>
      </c>
      <c r="L29" s="70">
        <f>_xlfn.XLOOKUP(TB_Vendas[[#This Row],[Vendedor]],Vendedores!$A$5:$A$9,Vendedores!$D$6:$D$10)</f>
        <v>0.15</v>
      </c>
      <c r="M29" s="70">
        <f>IF(TB_Vendas[[#This Row],[Desconto (Diretão)]]&gt;TB_Vendas[[#This Row],[Desconto do Vendedor]],TB_Vendas[[#This Row],[Desconto do Vendedor]],TB_Vendas[[#This Row],[Desconto (Diretão)]])</f>
        <v>0.1</v>
      </c>
      <c r="N29" s="8">
        <f>TB_Vendas[[#This Row],[Preço Unitário]]*TB_Vendas[[#This Row],[Qtd]]</f>
        <v>65.900000000000006</v>
      </c>
      <c r="O29" s="1" t="s">
        <v>129</v>
      </c>
    </row>
    <row r="30" spans="1:15">
      <c r="A30" s="10">
        <f>MONTH(TB_Vendas[[#This Row],[Data]])</f>
        <v>3</v>
      </c>
      <c r="B30" s="10" t="str">
        <f>PROPER(TEXT(DATE(,TB_Vendas[[#This Row],[Nº]],1),"Mmm"))</f>
        <v>Mar</v>
      </c>
      <c r="C30" s="9">
        <v>45004</v>
      </c>
      <c r="D30" s="10" t="s">
        <v>107</v>
      </c>
      <c r="E30" s="10" t="str">
        <f>_xlfn.XLOOKUP(TB_Vendas[[#This Row],[Código]],TB_Produtos[Código],TB_Produtos[Categoria],"")</f>
        <v>Vestuário</v>
      </c>
      <c r="F30" s="1">
        <v>5</v>
      </c>
      <c r="G30" s="29">
        <f>VLOOKUP(TB_Vendas[[#This Row],[Código]],Produtos!$B$6:$G$66,6,0)</f>
        <v>32.9</v>
      </c>
      <c r="H30" s="125">
        <f>_xlfn.XMATCH(TB_Vendas[[#This Row],[Categoria]],Desc_Categorias,0)</f>
        <v>3</v>
      </c>
      <c r="I30" s="125" cm="1">
        <f t="array" ref="I3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30" s="70">
        <f>VLOOKUP(TB_Vendas[[#This Row],[Qtd]],Desc_TabelaToda,TB_Vendas[[#This Row],[Indice]],TRUE)</f>
        <v>0.25</v>
      </c>
      <c r="K30" s="70" cm="1">
        <f t="array" ref="K30">INDEX(Desc_TabelaToda,MATCH(TB_Vendas[[#This Row],[Qtd]],Desc_Quantidades,1),MATCH(_xlfn.XLOOKUP(TB_Vendas[[#This Row],[Código]],TB_Produtos[[#All],[Código]],TB_Produtos[[#All],[Categoria]]),Desc_Categorias,0))</f>
        <v>0.25</v>
      </c>
      <c r="L30" s="70">
        <f>_xlfn.XLOOKUP(TB_Vendas[[#This Row],[Vendedor]],Vendedores!$A$5:$A$9,Vendedores!$D$6:$D$10)</f>
        <v>0</v>
      </c>
      <c r="M30" s="70">
        <f>IF(TB_Vendas[[#This Row],[Desconto (Diretão)]]&gt;TB_Vendas[[#This Row],[Desconto do Vendedor]],TB_Vendas[[#This Row],[Desconto do Vendedor]],TB_Vendas[[#This Row],[Desconto (Diretão)]])</f>
        <v>0</v>
      </c>
      <c r="N30" s="8">
        <f>TB_Vendas[[#This Row],[Preço Unitário]]*TB_Vendas[[#This Row],[Qtd]]</f>
        <v>164.5</v>
      </c>
      <c r="O30" s="1" t="s">
        <v>130</v>
      </c>
    </row>
    <row r="31" spans="1:15">
      <c r="A31" s="10">
        <f>MONTH(TB_Vendas[[#This Row],[Data]])</f>
        <v>3</v>
      </c>
      <c r="B31" s="10" t="str">
        <f>PROPER(TEXT(DATE(,TB_Vendas[[#This Row],[Nº]],1),"Mmm"))</f>
        <v>Mar</v>
      </c>
      <c r="C31" s="9">
        <v>45006</v>
      </c>
      <c r="D31" s="10" t="s">
        <v>122</v>
      </c>
      <c r="E31" s="10" t="str">
        <f>_xlfn.XLOOKUP(TB_Vendas[[#This Row],[Código]],TB_Produtos[Código],TB_Produtos[Categoria],"")</f>
        <v>Vestuário</v>
      </c>
      <c r="F31" s="1">
        <v>2</v>
      </c>
      <c r="G31" s="29">
        <f>VLOOKUP(TB_Vendas[[#This Row],[Código]],Produtos!$B$6:$G$66,6,0)</f>
        <v>180</v>
      </c>
      <c r="H31" s="125">
        <f>_xlfn.XMATCH(TB_Vendas[[#This Row],[Categoria]],Desc_Categorias,0)</f>
        <v>3</v>
      </c>
      <c r="I31" s="125" cm="1">
        <f t="array" ref="I3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31" s="70">
        <f>VLOOKUP(TB_Vendas[[#This Row],[Qtd]],Desc_TabelaToda,TB_Vendas[[#This Row],[Indice]],TRUE)</f>
        <v>0.15</v>
      </c>
      <c r="K31" s="70" cm="1">
        <f t="array" ref="K31">INDEX(Desc_TabelaToda,MATCH(TB_Vendas[[#This Row],[Qtd]],Desc_Quantidades,1),MATCH(_xlfn.XLOOKUP(TB_Vendas[[#This Row],[Código]],TB_Produtos[[#All],[Código]],TB_Produtos[[#All],[Categoria]]),Desc_Categorias,0))</f>
        <v>0.15</v>
      </c>
      <c r="L31" s="70">
        <f>_xlfn.XLOOKUP(TB_Vendas[[#This Row],[Vendedor]],Vendedores!$A$5:$A$9,Vendedores!$D$6:$D$10)</f>
        <v>0.1</v>
      </c>
      <c r="M31" s="70">
        <f>IF(TB_Vendas[[#This Row],[Desconto (Diretão)]]&gt;TB_Vendas[[#This Row],[Desconto do Vendedor]],TB_Vendas[[#This Row],[Desconto do Vendedor]],TB_Vendas[[#This Row],[Desconto (Diretão)]])</f>
        <v>0.1</v>
      </c>
      <c r="N31" s="8">
        <f>TB_Vendas[[#This Row],[Preço Unitário]]*TB_Vendas[[#This Row],[Qtd]]</f>
        <v>360</v>
      </c>
      <c r="O31" s="1" t="s">
        <v>127</v>
      </c>
    </row>
    <row r="32" spans="1:15">
      <c r="A32" s="10">
        <f>MONTH(TB_Vendas[[#This Row],[Data]])</f>
        <v>3</v>
      </c>
      <c r="B32" s="10" t="str">
        <f>PROPER(TEXT(DATE(,TB_Vendas[[#This Row],[Nº]],1),"Mmm"))</f>
        <v>Mar</v>
      </c>
      <c r="C32" s="9">
        <v>45010</v>
      </c>
      <c r="D32" s="10" t="s">
        <v>57</v>
      </c>
      <c r="E32" s="10" t="str">
        <f>_xlfn.XLOOKUP(TB_Vendas[[#This Row],[Código]],TB_Produtos[Código],TB_Produtos[Categoria],"")</f>
        <v>Acessórios</v>
      </c>
      <c r="F32" s="1">
        <v>3</v>
      </c>
      <c r="G32" s="29">
        <f>VLOOKUP(TB_Vendas[[#This Row],[Código]],Produtos!$B$6:$G$66,6,0)</f>
        <v>349.9</v>
      </c>
      <c r="H32" s="125">
        <f>_xlfn.XMATCH(TB_Vendas[[#This Row],[Categoria]],Desc_Categorias,0)</f>
        <v>2</v>
      </c>
      <c r="I32" s="125" cm="1">
        <f t="array" ref="I3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32" s="70">
        <f>VLOOKUP(TB_Vendas[[#This Row],[Qtd]],Desc_TabelaToda,TB_Vendas[[#This Row],[Indice]],TRUE)</f>
        <v>0.15</v>
      </c>
      <c r="K32" s="70" cm="1">
        <f t="array" ref="K32">INDEX(Desc_TabelaToda,MATCH(TB_Vendas[[#This Row],[Qtd]],Desc_Quantidades,1),MATCH(_xlfn.XLOOKUP(TB_Vendas[[#This Row],[Código]],TB_Produtos[[#All],[Código]],TB_Produtos[[#All],[Categoria]]),Desc_Categorias,0))</f>
        <v>0.15</v>
      </c>
      <c r="L32" s="70">
        <f>_xlfn.XLOOKUP(TB_Vendas[[#This Row],[Vendedor]],Vendedores!$A$5:$A$9,Vendedores!$D$6:$D$10)</f>
        <v>0.25</v>
      </c>
      <c r="M32" s="70">
        <f>IF(TB_Vendas[[#This Row],[Desconto (Diretão)]]&gt;TB_Vendas[[#This Row],[Desconto do Vendedor]],TB_Vendas[[#This Row],[Desconto do Vendedor]],TB_Vendas[[#This Row],[Desconto (Diretão)]])</f>
        <v>0.15</v>
      </c>
      <c r="N32" s="8">
        <f>TB_Vendas[[#This Row],[Preço Unitário]]*TB_Vendas[[#This Row],[Qtd]]</f>
        <v>1049.6999999999998</v>
      </c>
      <c r="O32" s="1" t="s">
        <v>126</v>
      </c>
    </row>
    <row r="33" spans="1:15">
      <c r="A33" s="10">
        <f>MONTH(TB_Vendas[[#This Row],[Data]])</f>
        <v>4</v>
      </c>
      <c r="B33" s="10" t="str">
        <f>PROPER(TEXT(DATE(,TB_Vendas[[#This Row],[Nº]],1),"Mmm"))</f>
        <v>Abr</v>
      </c>
      <c r="C33" s="9">
        <v>45018</v>
      </c>
      <c r="D33" s="10" t="s">
        <v>101</v>
      </c>
      <c r="E33" s="10" t="str">
        <f>_xlfn.XLOOKUP(TB_Vendas[[#This Row],[Código]],TB_Produtos[Código],TB_Produtos[Categoria],"")</f>
        <v>Vestuário</v>
      </c>
      <c r="F33" s="1">
        <v>1</v>
      </c>
      <c r="G33" s="29">
        <f>VLOOKUP(TB_Vendas[[#This Row],[Código]],Produtos!$B$6:$G$66,6,0)</f>
        <v>72.5</v>
      </c>
      <c r="H33" s="125">
        <f>_xlfn.XMATCH(TB_Vendas[[#This Row],[Categoria]],Desc_Categorias,0)</f>
        <v>3</v>
      </c>
      <c r="I33" s="125" cm="1">
        <f t="array" ref="I3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33" s="70">
        <f>VLOOKUP(TB_Vendas[[#This Row],[Qtd]],Desc_TabelaToda,TB_Vendas[[#This Row],[Indice]],TRUE)</f>
        <v>0.1</v>
      </c>
      <c r="K33" s="70" cm="1">
        <f t="array" ref="K33">INDEX(Desc_TabelaToda,MATCH(TB_Vendas[[#This Row],[Qtd]],Desc_Quantidades,1),MATCH(_xlfn.XLOOKUP(TB_Vendas[[#This Row],[Código]],TB_Produtos[[#All],[Código]],TB_Produtos[[#All],[Categoria]]),Desc_Categorias,0))</f>
        <v>0.1</v>
      </c>
      <c r="L33" s="70">
        <f>_xlfn.XLOOKUP(TB_Vendas[[#This Row],[Vendedor]],Vendedores!$A$5:$A$9,Vendedores!$D$6:$D$10)</f>
        <v>0.2</v>
      </c>
      <c r="M33" s="70">
        <f>IF(TB_Vendas[[#This Row],[Desconto (Diretão)]]&gt;TB_Vendas[[#This Row],[Desconto do Vendedor]],TB_Vendas[[#This Row],[Desconto do Vendedor]],TB_Vendas[[#This Row],[Desconto (Diretão)]])</f>
        <v>0.1</v>
      </c>
      <c r="N33" s="8">
        <f>TB_Vendas[[#This Row],[Preço Unitário]]*TB_Vendas[[#This Row],[Qtd]]</f>
        <v>72.5</v>
      </c>
      <c r="O33" s="1" t="s">
        <v>128</v>
      </c>
    </row>
    <row r="34" spans="1:15">
      <c r="A34" s="10">
        <f>MONTH(TB_Vendas[[#This Row],[Data]])</f>
        <v>4</v>
      </c>
      <c r="B34" s="10" t="str">
        <f>PROPER(TEXT(DATE(,TB_Vendas[[#This Row],[Nº]],1),"Mmm"))</f>
        <v>Abr</v>
      </c>
      <c r="C34" s="9">
        <v>45020</v>
      </c>
      <c r="D34" s="10" t="s">
        <v>55</v>
      </c>
      <c r="E34" s="10" t="str">
        <f>_xlfn.XLOOKUP(TB_Vendas[[#This Row],[Código]],TB_Produtos[Código],TB_Produtos[Categoria],"")</f>
        <v>Vestuário</v>
      </c>
      <c r="F34" s="1">
        <v>4</v>
      </c>
      <c r="G34" s="29">
        <f>VLOOKUP(TB_Vendas[[#This Row],[Código]],Produtos!$B$6:$G$66,6,0)</f>
        <v>259.89999999999998</v>
      </c>
      <c r="H34" s="125">
        <f>_xlfn.XMATCH(TB_Vendas[[#This Row],[Categoria]],Desc_Categorias,0)</f>
        <v>3</v>
      </c>
      <c r="I34" s="125" cm="1">
        <f t="array" ref="I3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34" s="70">
        <f>VLOOKUP(TB_Vendas[[#This Row],[Qtd]],Desc_TabelaToda,TB_Vendas[[#This Row],[Indice]],TRUE)</f>
        <v>0.2</v>
      </c>
      <c r="K34" s="70" cm="1">
        <f t="array" ref="K34">INDEX(Desc_TabelaToda,MATCH(TB_Vendas[[#This Row],[Qtd]],Desc_Quantidades,1),MATCH(_xlfn.XLOOKUP(TB_Vendas[[#This Row],[Código]],TB_Produtos[[#All],[Código]],TB_Produtos[[#All],[Categoria]]),Desc_Categorias,0))</f>
        <v>0.2</v>
      </c>
      <c r="L34" s="70">
        <f>_xlfn.XLOOKUP(TB_Vendas[[#This Row],[Vendedor]],Vendedores!$A$5:$A$9,Vendedores!$D$6:$D$10)</f>
        <v>0.25</v>
      </c>
      <c r="M34" s="70">
        <f>IF(TB_Vendas[[#This Row],[Desconto (Diretão)]]&gt;TB_Vendas[[#This Row],[Desconto do Vendedor]],TB_Vendas[[#This Row],[Desconto do Vendedor]],TB_Vendas[[#This Row],[Desconto (Diretão)]])</f>
        <v>0.2</v>
      </c>
      <c r="N34" s="8">
        <f>TB_Vendas[[#This Row],[Preço Unitário]]*TB_Vendas[[#This Row],[Qtd]]</f>
        <v>1039.5999999999999</v>
      </c>
      <c r="O34" s="1" t="s">
        <v>126</v>
      </c>
    </row>
    <row r="35" spans="1:15">
      <c r="A35" s="10">
        <f>MONTH(TB_Vendas[[#This Row],[Data]])</f>
        <v>4</v>
      </c>
      <c r="B35" s="10" t="str">
        <f>PROPER(TEXT(DATE(,TB_Vendas[[#This Row],[Nº]],1),"Mmm"))</f>
        <v>Abr</v>
      </c>
      <c r="C35" s="9">
        <v>45024</v>
      </c>
      <c r="D35" s="10" t="s">
        <v>47</v>
      </c>
      <c r="E35" s="10" t="str">
        <f>_xlfn.XLOOKUP(TB_Vendas[[#This Row],[Código]],TB_Produtos[Código],TB_Produtos[Categoria],"")</f>
        <v>Vestuário</v>
      </c>
      <c r="F35" s="1">
        <v>3</v>
      </c>
      <c r="G35" s="29">
        <f>VLOOKUP(TB_Vendas[[#This Row],[Código]],Produtos!$B$6:$G$66,6,0)</f>
        <v>25.9</v>
      </c>
      <c r="H35" s="125">
        <f>_xlfn.XMATCH(TB_Vendas[[#This Row],[Categoria]],Desc_Categorias,0)</f>
        <v>3</v>
      </c>
      <c r="I35" s="125" cm="1">
        <f t="array" ref="I3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35" s="70">
        <f>VLOOKUP(TB_Vendas[[#This Row],[Qtd]],Desc_TabelaToda,TB_Vendas[[#This Row],[Indice]],TRUE)</f>
        <v>0.2</v>
      </c>
      <c r="K35" s="70" cm="1">
        <f t="array" ref="K35">INDEX(Desc_TabelaToda,MATCH(TB_Vendas[[#This Row],[Qtd]],Desc_Quantidades,1),MATCH(_xlfn.XLOOKUP(TB_Vendas[[#This Row],[Código]],TB_Produtos[[#All],[Código]],TB_Produtos[[#All],[Categoria]]),Desc_Categorias,0))</f>
        <v>0.2</v>
      </c>
      <c r="L35" s="70">
        <f>_xlfn.XLOOKUP(TB_Vendas[[#This Row],[Vendedor]],Vendedores!$A$5:$A$9,Vendedores!$D$6:$D$10)</f>
        <v>0.1</v>
      </c>
      <c r="M35" s="70">
        <f>IF(TB_Vendas[[#This Row],[Desconto (Diretão)]]&gt;TB_Vendas[[#This Row],[Desconto do Vendedor]],TB_Vendas[[#This Row],[Desconto do Vendedor]],TB_Vendas[[#This Row],[Desconto (Diretão)]])</f>
        <v>0.1</v>
      </c>
      <c r="N35" s="8">
        <f>TB_Vendas[[#This Row],[Preço Unitário]]*TB_Vendas[[#This Row],[Qtd]]</f>
        <v>77.699999999999989</v>
      </c>
      <c r="O35" s="1" t="s">
        <v>127</v>
      </c>
    </row>
    <row r="36" spans="1:15">
      <c r="A36" s="10">
        <f>MONTH(TB_Vendas[[#This Row],[Data]])</f>
        <v>4</v>
      </c>
      <c r="B36" s="10" t="str">
        <f>PROPER(TEXT(DATE(,TB_Vendas[[#This Row],[Nº]],1),"Mmm"))</f>
        <v>Abr</v>
      </c>
      <c r="C36" s="9">
        <v>45027</v>
      </c>
      <c r="D36" s="10" t="s">
        <v>35</v>
      </c>
      <c r="E36" s="10" t="str">
        <f>_xlfn.XLOOKUP(TB_Vendas[[#This Row],[Código]],TB_Produtos[Código],TB_Produtos[Categoria],"")</f>
        <v>Acessórios</v>
      </c>
      <c r="F36" s="1">
        <v>2</v>
      </c>
      <c r="G36" s="29">
        <f>VLOOKUP(TB_Vendas[[#This Row],[Código]],Produtos!$B$6:$G$66,6,0)</f>
        <v>145</v>
      </c>
      <c r="H36" s="125">
        <f>_xlfn.XMATCH(TB_Vendas[[#This Row],[Categoria]],Desc_Categorias,0)</f>
        <v>2</v>
      </c>
      <c r="I36" s="125" cm="1">
        <f t="array" ref="I3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0.05</v>
      </c>
      <c r="J36" s="70">
        <f>VLOOKUP(TB_Vendas[[#This Row],[Qtd]],Desc_TabelaToda,TB_Vendas[[#This Row],[Indice]],TRUE)</f>
        <v>0.05</v>
      </c>
      <c r="K36" s="70" cm="1">
        <f t="array" ref="K36">INDEX(Desc_TabelaToda,MATCH(TB_Vendas[[#This Row],[Qtd]],Desc_Quantidades,1),MATCH(_xlfn.XLOOKUP(TB_Vendas[[#This Row],[Código]],TB_Produtos[[#All],[Código]],TB_Produtos[[#All],[Categoria]]),Desc_Categorias,0))</f>
        <v>0.05</v>
      </c>
      <c r="L36" s="70">
        <f>_xlfn.XLOOKUP(TB_Vendas[[#This Row],[Vendedor]],Vendedores!$A$5:$A$9,Vendedores!$D$6:$D$10)</f>
        <v>0.25</v>
      </c>
      <c r="M36" s="70">
        <f>IF(TB_Vendas[[#This Row],[Desconto (Diretão)]]&gt;TB_Vendas[[#This Row],[Desconto do Vendedor]],TB_Vendas[[#This Row],[Desconto do Vendedor]],TB_Vendas[[#This Row],[Desconto (Diretão)]])</f>
        <v>0.05</v>
      </c>
      <c r="N36" s="8">
        <f>TB_Vendas[[#This Row],[Preço Unitário]]*TB_Vendas[[#This Row],[Qtd]]</f>
        <v>290</v>
      </c>
      <c r="O36" s="1" t="s">
        <v>126</v>
      </c>
    </row>
    <row r="37" spans="1:15">
      <c r="A37" s="10">
        <f>MONTH(TB_Vendas[[#This Row],[Data]])</f>
        <v>4</v>
      </c>
      <c r="B37" s="10" t="str">
        <f>PROPER(TEXT(DATE(,TB_Vendas[[#This Row],[Nº]],1),"Mmm"))</f>
        <v>Abr</v>
      </c>
      <c r="C37" s="9">
        <v>45028</v>
      </c>
      <c r="D37" s="10" t="s">
        <v>37</v>
      </c>
      <c r="E37" s="10" t="str">
        <f>_xlfn.XLOOKUP(TB_Vendas[[#This Row],[Código]],TB_Produtos[Código],TB_Produtos[Categoria],"")</f>
        <v>Acessórios</v>
      </c>
      <c r="F37" s="1">
        <v>1</v>
      </c>
      <c r="G37" s="29">
        <f>VLOOKUP(TB_Vendas[[#This Row],[Código]],Produtos!$B$6:$G$66,6,0)</f>
        <v>39.9</v>
      </c>
      <c r="H37" s="125">
        <f>_xlfn.XMATCH(TB_Vendas[[#This Row],[Categoria]],Desc_Categorias,0)</f>
        <v>2</v>
      </c>
      <c r="I37" s="125" cm="1">
        <f t="array" ref="I3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</v>
      </c>
      <c r="J37" s="70">
        <f>VLOOKUP(TB_Vendas[[#This Row],[Qtd]],Desc_TabelaToda,TB_Vendas[[#This Row],[Indice]],TRUE)</f>
        <v>0</v>
      </c>
      <c r="K37" s="70" cm="1">
        <f t="array" ref="K37">INDEX(Desc_TabelaToda,MATCH(TB_Vendas[[#This Row],[Qtd]],Desc_Quantidades,1),MATCH(_xlfn.XLOOKUP(TB_Vendas[[#This Row],[Código]],TB_Produtos[[#All],[Código]],TB_Produtos[[#All],[Categoria]]),Desc_Categorias,0))</f>
        <v>0</v>
      </c>
      <c r="L37" s="70">
        <f>_xlfn.XLOOKUP(TB_Vendas[[#This Row],[Vendedor]],Vendedores!$A$5:$A$9,Vendedores!$D$6:$D$10)</f>
        <v>0.1</v>
      </c>
      <c r="M37" s="70">
        <f>IF(TB_Vendas[[#This Row],[Desconto (Diretão)]]&gt;TB_Vendas[[#This Row],[Desconto do Vendedor]],TB_Vendas[[#This Row],[Desconto do Vendedor]],TB_Vendas[[#This Row],[Desconto (Diretão)]])</f>
        <v>0</v>
      </c>
      <c r="N37" s="8">
        <f>TB_Vendas[[#This Row],[Preço Unitário]]*TB_Vendas[[#This Row],[Qtd]]</f>
        <v>39.9</v>
      </c>
      <c r="O37" s="1" t="s">
        <v>127</v>
      </c>
    </row>
    <row r="38" spans="1:15">
      <c r="A38" s="10">
        <f>MONTH(TB_Vendas[[#This Row],[Data]])</f>
        <v>4</v>
      </c>
      <c r="B38" s="10" t="str">
        <f>PROPER(TEXT(DATE(,TB_Vendas[[#This Row],[Nº]],1),"Mmm"))</f>
        <v>Abr</v>
      </c>
      <c r="C38" s="9">
        <v>45029</v>
      </c>
      <c r="D38" s="10" t="s">
        <v>57</v>
      </c>
      <c r="E38" s="10" t="str">
        <f>_xlfn.XLOOKUP(TB_Vendas[[#This Row],[Código]],TB_Produtos[Código],TB_Produtos[Categoria],"")</f>
        <v>Acessórios</v>
      </c>
      <c r="F38" s="1">
        <v>3</v>
      </c>
      <c r="G38" s="29">
        <f>VLOOKUP(TB_Vendas[[#This Row],[Código]],Produtos!$B$6:$G$66,6,0)</f>
        <v>349.9</v>
      </c>
      <c r="H38" s="125">
        <f>_xlfn.XMATCH(TB_Vendas[[#This Row],[Categoria]],Desc_Categorias,0)</f>
        <v>2</v>
      </c>
      <c r="I38" s="125" cm="1">
        <f t="array" ref="I3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38" s="70">
        <f>VLOOKUP(TB_Vendas[[#This Row],[Qtd]],Desc_TabelaToda,TB_Vendas[[#This Row],[Indice]],TRUE)</f>
        <v>0.15</v>
      </c>
      <c r="K38" s="70" cm="1">
        <f t="array" ref="K38">INDEX(Desc_TabelaToda,MATCH(TB_Vendas[[#This Row],[Qtd]],Desc_Quantidades,1),MATCH(_xlfn.XLOOKUP(TB_Vendas[[#This Row],[Código]],TB_Produtos[[#All],[Código]],TB_Produtos[[#All],[Categoria]]),Desc_Categorias,0))</f>
        <v>0.15</v>
      </c>
      <c r="L38" s="70">
        <f>_xlfn.XLOOKUP(TB_Vendas[[#This Row],[Vendedor]],Vendedores!$A$5:$A$9,Vendedores!$D$6:$D$10)</f>
        <v>0.15</v>
      </c>
      <c r="M38" s="70">
        <f>IF(TB_Vendas[[#This Row],[Desconto (Diretão)]]&gt;TB_Vendas[[#This Row],[Desconto do Vendedor]],TB_Vendas[[#This Row],[Desconto do Vendedor]],TB_Vendas[[#This Row],[Desconto (Diretão)]])</f>
        <v>0.15</v>
      </c>
      <c r="N38" s="8">
        <f>TB_Vendas[[#This Row],[Preço Unitário]]*TB_Vendas[[#This Row],[Qtd]]</f>
        <v>1049.6999999999998</v>
      </c>
      <c r="O38" s="1" t="s">
        <v>129</v>
      </c>
    </row>
    <row r="39" spans="1:15">
      <c r="A39" s="10">
        <f>MONTH(TB_Vendas[[#This Row],[Data]])</f>
        <v>4</v>
      </c>
      <c r="B39" s="10" t="str">
        <f>PROPER(TEXT(DATE(,TB_Vendas[[#This Row],[Nº]],1),"Mmm"))</f>
        <v>Abr</v>
      </c>
      <c r="C39" s="9">
        <v>45031</v>
      </c>
      <c r="D39" s="10" t="s">
        <v>118</v>
      </c>
      <c r="E39" s="10" t="str">
        <f>_xlfn.XLOOKUP(TB_Vendas[[#This Row],[Código]],TB_Produtos[Código],TB_Produtos[Categoria],"")</f>
        <v>Calçado</v>
      </c>
      <c r="F39" s="1">
        <v>4</v>
      </c>
      <c r="G39" s="29">
        <f>VLOOKUP(TB_Vendas[[#This Row],[Código]],Produtos!$B$6:$G$66,6,0)</f>
        <v>89.9</v>
      </c>
      <c r="H39" s="125">
        <f>_xlfn.XMATCH(TB_Vendas[[#This Row],[Categoria]],Desc_Categorias,0)</f>
        <v>4</v>
      </c>
      <c r="I39" s="125" cm="1">
        <f t="array" ref="I3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39" s="70">
        <f>VLOOKUP(TB_Vendas[[#This Row],[Qtd]],Desc_TabelaToda,TB_Vendas[[#This Row],[Indice]],TRUE)</f>
        <v>0.15</v>
      </c>
      <c r="K39" s="70" cm="1">
        <f t="array" ref="K39">INDEX(Desc_TabelaToda,MATCH(TB_Vendas[[#This Row],[Qtd]],Desc_Quantidades,1),MATCH(_xlfn.XLOOKUP(TB_Vendas[[#This Row],[Código]],TB_Produtos[[#All],[Código]],TB_Produtos[[#All],[Categoria]]),Desc_Categorias,0))</f>
        <v>0.15</v>
      </c>
      <c r="L39" s="70">
        <f>_xlfn.XLOOKUP(TB_Vendas[[#This Row],[Vendedor]],Vendedores!$A$5:$A$9,Vendedores!$D$6:$D$10)</f>
        <v>0.25</v>
      </c>
      <c r="M39" s="70">
        <f>IF(TB_Vendas[[#This Row],[Desconto (Diretão)]]&gt;TB_Vendas[[#This Row],[Desconto do Vendedor]],TB_Vendas[[#This Row],[Desconto do Vendedor]],TB_Vendas[[#This Row],[Desconto (Diretão)]])</f>
        <v>0.15</v>
      </c>
      <c r="N39" s="8">
        <f>TB_Vendas[[#This Row],[Preço Unitário]]*TB_Vendas[[#This Row],[Qtd]]</f>
        <v>359.6</v>
      </c>
      <c r="O39" s="1" t="s">
        <v>126</v>
      </c>
    </row>
    <row r="40" spans="1:15">
      <c r="A40" s="10">
        <f>MONTH(TB_Vendas[[#This Row],[Data]])</f>
        <v>4</v>
      </c>
      <c r="B40" s="10" t="str">
        <f>PROPER(TEXT(DATE(,TB_Vendas[[#This Row],[Nº]],1),"Mmm"))</f>
        <v>Abr</v>
      </c>
      <c r="C40" s="9">
        <v>45038</v>
      </c>
      <c r="D40" s="10" t="s">
        <v>115</v>
      </c>
      <c r="E40" s="10" t="str">
        <f>_xlfn.XLOOKUP(TB_Vendas[[#This Row],[Código]],TB_Produtos[Código],TB_Produtos[Categoria],"")</f>
        <v>Calçado</v>
      </c>
      <c r="F40" s="1">
        <v>2</v>
      </c>
      <c r="G40" s="29">
        <f>VLOOKUP(TB_Vendas[[#This Row],[Código]],Produtos!$B$6:$G$66,6,0)</f>
        <v>89.9</v>
      </c>
      <c r="H40" s="125">
        <f>_xlfn.XMATCH(TB_Vendas[[#This Row],[Categoria]],Desc_Categorias,0)</f>
        <v>4</v>
      </c>
      <c r="I40" s="125" cm="1">
        <f t="array" ref="I4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40" s="70">
        <f>VLOOKUP(TB_Vendas[[#This Row],[Qtd]],Desc_TabelaToda,TB_Vendas[[#This Row],[Indice]],TRUE)</f>
        <v>0.1</v>
      </c>
      <c r="K40" s="70" cm="1">
        <f t="array" ref="K40">INDEX(Desc_TabelaToda,MATCH(TB_Vendas[[#This Row],[Qtd]],Desc_Quantidades,1),MATCH(_xlfn.XLOOKUP(TB_Vendas[[#This Row],[Código]],TB_Produtos[[#All],[Código]],TB_Produtos[[#All],[Categoria]]),Desc_Categorias,0))</f>
        <v>0.1</v>
      </c>
      <c r="L40" s="70">
        <f>_xlfn.XLOOKUP(TB_Vendas[[#This Row],[Vendedor]],Vendedores!$A$5:$A$9,Vendedores!$D$6:$D$10)</f>
        <v>0.15</v>
      </c>
      <c r="M40" s="70">
        <f>IF(TB_Vendas[[#This Row],[Desconto (Diretão)]]&gt;TB_Vendas[[#This Row],[Desconto do Vendedor]],TB_Vendas[[#This Row],[Desconto do Vendedor]],TB_Vendas[[#This Row],[Desconto (Diretão)]])</f>
        <v>0.1</v>
      </c>
      <c r="N40" s="8">
        <f>TB_Vendas[[#This Row],[Preço Unitário]]*TB_Vendas[[#This Row],[Qtd]]</f>
        <v>179.8</v>
      </c>
      <c r="O40" s="1" t="s">
        <v>129</v>
      </c>
    </row>
    <row r="41" spans="1:15">
      <c r="A41" s="10">
        <f>MONTH(TB_Vendas[[#This Row],[Data]])</f>
        <v>4</v>
      </c>
      <c r="B41" s="10" t="str">
        <f>PROPER(TEXT(DATE(,TB_Vendas[[#This Row],[Nº]],1),"Mmm"))</f>
        <v>Abr</v>
      </c>
      <c r="C41" s="9">
        <v>45039</v>
      </c>
      <c r="D41" s="10" t="s">
        <v>33</v>
      </c>
      <c r="E41" s="10" t="str">
        <f>_xlfn.XLOOKUP(TB_Vendas[[#This Row],[Código]],TB_Produtos[Código],TB_Produtos[Categoria],"")</f>
        <v>Vestuário</v>
      </c>
      <c r="F41" s="1">
        <v>3</v>
      </c>
      <c r="G41" s="29">
        <f>VLOOKUP(TB_Vendas[[#This Row],[Código]],Produtos!$B$6:$G$66,6,0)</f>
        <v>69.900000000000006</v>
      </c>
      <c r="H41" s="125">
        <f>_xlfn.XMATCH(TB_Vendas[[#This Row],[Categoria]],Desc_Categorias,0)</f>
        <v>3</v>
      </c>
      <c r="I41" s="125" cm="1">
        <f t="array" ref="I4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41" s="70">
        <f>VLOOKUP(TB_Vendas[[#This Row],[Qtd]],Desc_TabelaToda,TB_Vendas[[#This Row],[Indice]],TRUE)</f>
        <v>0.2</v>
      </c>
      <c r="K41" s="70" cm="1">
        <f t="array" ref="K41">INDEX(Desc_TabelaToda,MATCH(TB_Vendas[[#This Row],[Qtd]],Desc_Quantidades,1),MATCH(_xlfn.XLOOKUP(TB_Vendas[[#This Row],[Código]],TB_Produtos[[#All],[Código]],TB_Produtos[[#All],[Categoria]]),Desc_Categorias,0))</f>
        <v>0.2</v>
      </c>
      <c r="L41" s="70">
        <f>_xlfn.XLOOKUP(TB_Vendas[[#This Row],[Vendedor]],Vendedores!$A$5:$A$9,Vendedores!$D$6:$D$10)</f>
        <v>0.25</v>
      </c>
      <c r="M41" s="70">
        <f>IF(TB_Vendas[[#This Row],[Desconto (Diretão)]]&gt;TB_Vendas[[#This Row],[Desconto do Vendedor]],TB_Vendas[[#This Row],[Desconto do Vendedor]],TB_Vendas[[#This Row],[Desconto (Diretão)]])</f>
        <v>0.2</v>
      </c>
      <c r="N41" s="8">
        <f>TB_Vendas[[#This Row],[Preço Unitário]]*TB_Vendas[[#This Row],[Qtd]]</f>
        <v>209.70000000000002</v>
      </c>
      <c r="O41" s="1" t="s">
        <v>126</v>
      </c>
    </row>
    <row r="42" spans="1:15">
      <c r="A42" s="10">
        <f>MONTH(TB_Vendas[[#This Row],[Data]])</f>
        <v>4</v>
      </c>
      <c r="B42" s="10" t="str">
        <f>PROPER(TEXT(DATE(,TB_Vendas[[#This Row],[Nº]],1),"Mmm"))</f>
        <v>Abr</v>
      </c>
      <c r="C42" s="9">
        <v>45042</v>
      </c>
      <c r="D42" s="10" t="s">
        <v>35</v>
      </c>
      <c r="E42" s="10" t="str">
        <f>_xlfn.XLOOKUP(TB_Vendas[[#This Row],[Código]],TB_Produtos[Código],TB_Produtos[Categoria],"")</f>
        <v>Acessórios</v>
      </c>
      <c r="F42" s="1">
        <v>1</v>
      </c>
      <c r="G42" s="29">
        <f>VLOOKUP(TB_Vendas[[#This Row],[Código]],Produtos!$B$6:$G$66,6,0)</f>
        <v>145</v>
      </c>
      <c r="H42" s="125">
        <f>_xlfn.XMATCH(TB_Vendas[[#This Row],[Categoria]],Desc_Categorias,0)</f>
        <v>2</v>
      </c>
      <c r="I42" s="125" cm="1">
        <f t="array" ref="I4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</v>
      </c>
      <c r="J42" s="70">
        <f>VLOOKUP(TB_Vendas[[#This Row],[Qtd]],Desc_TabelaToda,TB_Vendas[[#This Row],[Indice]],TRUE)</f>
        <v>0</v>
      </c>
      <c r="K42" s="70" cm="1">
        <f t="array" ref="K42">INDEX(Desc_TabelaToda,MATCH(TB_Vendas[[#This Row],[Qtd]],Desc_Quantidades,1),MATCH(_xlfn.XLOOKUP(TB_Vendas[[#This Row],[Código]],TB_Produtos[[#All],[Código]],TB_Produtos[[#All],[Categoria]]),Desc_Categorias,0))</f>
        <v>0</v>
      </c>
      <c r="L42" s="70">
        <f>_xlfn.XLOOKUP(TB_Vendas[[#This Row],[Vendedor]],Vendedores!$A$5:$A$9,Vendedores!$D$6:$D$10)</f>
        <v>0</v>
      </c>
      <c r="M42" s="70">
        <f>IF(TB_Vendas[[#This Row],[Desconto (Diretão)]]&gt;TB_Vendas[[#This Row],[Desconto do Vendedor]],TB_Vendas[[#This Row],[Desconto do Vendedor]],TB_Vendas[[#This Row],[Desconto (Diretão)]])</f>
        <v>0</v>
      </c>
      <c r="N42" s="8">
        <f>TB_Vendas[[#This Row],[Preço Unitário]]*TB_Vendas[[#This Row],[Qtd]]</f>
        <v>145</v>
      </c>
      <c r="O42" s="1" t="s">
        <v>130</v>
      </c>
    </row>
    <row r="43" spans="1:15">
      <c r="A43" s="10">
        <f>MONTH(TB_Vendas[[#This Row],[Data]])</f>
        <v>4</v>
      </c>
      <c r="B43" s="10" t="str">
        <f>PROPER(TEXT(DATE(,TB_Vendas[[#This Row],[Nº]],1),"Mmm"))</f>
        <v>Abr</v>
      </c>
      <c r="C43" s="9">
        <v>45043</v>
      </c>
      <c r="D43" s="10" t="s">
        <v>42</v>
      </c>
      <c r="E43" s="10" t="str">
        <f>_xlfn.XLOOKUP(TB_Vendas[[#This Row],[Código]],TB_Produtos[Código],TB_Produtos[Categoria],"")</f>
        <v>Vestuário</v>
      </c>
      <c r="F43" s="1">
        <v>4</v>
      </c>
      <c r="G43" s="29">
        <f>VLOOKUP(TB_Vendas[[#This Row],[Código]],Produtos!$B$6:$G$66,6,0)</f>
        <v>46.9</v>
      </c>
      <c r="H43" s="125">
        <f>_xlfn.XMATCH(TB_Vendas[[#This Row],[Categoria]],Desc_Categorias,0)</f>
        <v>3</v>
      </c>
      <c r="I43" s="125" cm="1">
        <f t="array" ref="I4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43" s="70">
        <f>VLOOKUP(TB_Vendas[[#This Row],[Qtd]],Desc_TabelaToda,TB_Vendas[[#This Row],[Indice]],TRUE)</f>
        <v>0.2</v>
      </c>
      <c r="K43" s="70" cm="1">
        <f t="array" ref="K43">INDEX(Desc_TabelaToda,MATCH(TB_Vendas[[#This Row],[Qtd]],Desc_Quantidades,1),MATCH(_xlfn.XLOOKUP(TB_Vendas[[#This Row],[Código]],TB_Produtos[[#All],[Código]],TB_Produtos[[#All],[Categoria]]),Desc_Categorias,0))</f>
        <v>0.2</v>
      </c>
      <c r="L43" s="70">
        <f>_xlfn.XLOOKUP(TB_Vendas[[#This Row],[Vendedor]],Vendedores!$A$5:$A$9,Vendedores!$D$6:$D$10)</f>
        <v>0.25</v>
      </c>
      <c r="M43" s="70">
        <f>IF(TB_Vendas[[#This Row],[Desconto (Diretão)]]&gt;TB_Vendas[[#This Row],[Desconto do Vendedor]],TB_Vendas[[#This Row],[Desconto do Vendedor]],TB_Vendas[[#This Row],[Desconto (Diretão)]])</f>
        <v>0.2</v>
      </c>
      <c r="N43" s="8">
        <f>TB_Vendas[[#This Row],[Preço Unitário]]*TB_Vendas[[#This Row],[Qtd]]</f>
        <v>187.6</v>
      </c>
      <c r="O43" s="1" t="s">
        <v>126</v>
      </c>
    </row>
    <row r="44" spans="1:15">
      <c r="A44" s="10">
        <f>MONTH(TB_Vendas[[#This Row],[Data]])</f>
        <v>5</v>
      </c>
      <c r="B44" s="10" t="str">
        <f>PROPER(TEXT(DATE(,TB_Vendas[[#This Row],[Nº]],1),"Mmm"))</f>
        <v>Mai</v>
      </c>
      <c r="C44" s="9">
        <v>45054</v>
      </c>
      <c r="D44" s="10" t="s">
        <v>99</v>
      </c>
      <c r="E44" s="10" t="str">
        <f>_xlfn.XLOOKUP(TB_Vendas[[#This Row],[Código]],TB_Produtos[Código],TB_Produtos[Categoria],"")</f>
        <v>Vestuário</v>
      </c>
      <c r="F44" s="1">
        <v>2</v>
      </c>
      <c r="G44" s="29">
        <f>VLOOKUP(TB_Vendas[[#This Row],[Código]],Produtos!$B$6:$G$66,6,0)</f>
        <v>72.5</v>
      </c>
      <c r="H44" s="125">
        <f>_xlfn.XMATCH(TB_Vendas[[#This Row],[Categoria]],Desc_Categorias,0)</f>
        <v>3</v>
      </c>
      <c r="I44" s="125" cm="1">
        <f t="array" ref="I4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44" s="70">
        <f>VLOOKUP(TB_Vendas[[#This Row],[Qtd]],Desc_TabelaToda,TB_Vendas[[#This Row],[Indice]],TRUE)</f>
        <v>0.15</v>
      </c>
      <c r="K44" s="70" cm="1">
        <f t="array" ref="K44">INDEX(Desc_TabelaToda,MATCH(TB_Vendas[[#This Row],[Qtd]],Desc_Quantidades,1),MATCH(_xlfn.XLOOKUP(TB_Vendas[[#This Row],[Código]],TB_Produtos[[#All],[Código]],TB_Produtos[[#All],[Categoria]]),Desc_Categorias,0))</f>
        <v>0.15</v>
      </c>
      <c r="L44" s="70">
        <f>_xlfn.XLOOKUP(TB_Vendas[[#This Row],[Vendedor]],Vendedores!$A$5:$A$9,Vendedores!$D$6:$D$10)</f>
        <v>0</v>
      </c>
      <c r="M44" s="70">
        <f>IF(TB_Vendas[[#This Row],[Desconto (Diretão)]]&gt;TB_Vendas[[#This Row],[Desconto do Vendedor]],TB_Vendas[[#This Row],[Desconto do Vendedor]],TB_Vendas[[#This Row],[Desconto (Diretão)]])</f>
        <v>0</v>
      </c>
      <c r="N44" s="8">
        <f>TB_Vendas[[#This Row],[Preço Unitário]]*TB_Vendas[[#This Row],[Qtd]]</f>
        <v>145</v>
      </c>
      <c r="O44" s="1" t="s">
        <v>130</v>
      </c>
    </row>
    <row r="45" spans="1:15">
      <c r="A45" s="10">
        <f>MONTH(TB_Vendas[[#This Row],[Data]])</f>
        <v>5</v>
      </c>
      <c r="B45" s="10" t="str">
        <f>PROPER(TEXT(DATE(,TB_Vendas[[#This Row],[Nº]],1),"Mmm"))</f>
        <v>Mai</v>
      </c>
      <c r="C45" s="9">
        <v>45055</v>
      </c>
      <c r="D45" s="10" t="s">
        <v>68</v>
      </c>
      <c r="E45" s="10" t="str">
        <f>_xlfn.XLOOKUP(TB_Vendas[[#This Row],[Código]],TB_Produtos[Código],TB_Produtos[Categoria],"")</f>
        <v>Vestuário</v>
      </c>
      <c r="F45" s="1">
        <v>3</v>
      </c>
      <c r="G45" s="29">
        <f>VLOOKUP(TB_Vendas[[#This Row],[Código]],Produtos!$B$6:$G$66,6,0)</f>
        <v>140</v>
      </c>
      <c r="H45" s="125">
        <f>_xlfn.XMATCH(TB_Vendas[[#This Row],[Categoria]],Desc_Categorias,0)</f>
        <v>3</v>
      </c>
      <c r="I45" s="125" cm="1">
        <f t="array" ref="I4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45" s="70">
        <f>VLOOKUP(TB_Vendas[[#This Row],[Qtd]],Desc_TabelaToda,TB_Vendas[[#This Row],[Indice]],TRUE)</f>
        <v>0.2</v>
      </c>
      <c r="K45" s="70" cm="1">
        <f t="array" ref="K45">INDEX(Desc_TabelaToda,MATCH(TB_Vendas[[#This Row],[Qtd]],Desc_Quantidades,1),MATCH(_xlfn.XLOOKUP(TB_Vendas[[#This Row],[Código]],TB_Produtos[[#All],[Código]],TB_Produtos[[#All],[Categoria]]),Desc_Categorias,0))</f>
        <v>0.2</v>
      </c>
      <c r="L45" s="70">
        <f>_xlfn.XLOOKUP(TB_Vendas[[#This Row],[Vendedor]],Vendedores!$A$5:$A$9,Vendedores!$D$6:$D$10)</f>
        <v>0.15</v>
      </c>
      <c r="M45" s="70">
        <f>IF(TB_Vendas[[#This Row],[Desconto (Diretão)]]&gt;TB_Vendas[[#This Row],[Desconto do Vendedor]],TB_Vendas[[#This Row],[Desconto do Vendedor]],TB_Vendas[[#This Row],[Desconto (Diretão)]])</f>
        <v>0.15</v>
      </c>
      <c r="N45" s="8">
        <f>TB_Vendas[[#This Row],[Preço Unitário]]*TB_Vendas[[#This Row],[Qtd]]</f>
        <v>420</v>
      </c>
      <c r="O45" s="1" t="s">
        <v>129</v>
      </c>
    </row>
    <row r="46" spans="1:15">
      <c r="A46" s="10">
        <f>MONTH(TB_Vendas[[#This Row],[Data]])</f>
        <v>5</v>
      </c>
      <c r="B46" s="10" t="str">
        <f>PROPER(TEXT(DATE(,TB_Vendas[[#This Row],[Nº]],1),"Mmm"))</f>
        <v>Mai</v>
      </c>
      <c r="C46" s="9">
        <v>45056</v>
      </c>
      <c r="D46" s="10" t="s">
        <v>66</v>
      </c>
      <c r="E46" s="10" t="str">
        <f>_xlfn.XLOOKUP(TB_Vendas[[#This Row],[Código]],TB_Produtos[Código],TB_Produtos[Categoria],"")</f>
        <v>Vestuário</v>
      </c>
      <c r="F46" s="1">
        <v>1</v>
      </c>
      <c r="G46" s="29">
        <f>VLOOKUP(TB_Vendas[[#This Row],[Código]],Produtos!$B$6:$G$66,6,0)</f>
        <v>91.4</v>
      </c>
      <c r="H46" s="125">
        <f>_xlfn.XMATCH(TB_Vendas[[#This Row],[Categoria]],Desc_Categorias,0)</f>
        <v>3</v>
      </c>
      <c r="I46" s="125" cm="1">
        <f t="array" ref="I4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46" s="70">
        <f>VLOOKUP(TB_Vendas[[#This Row],[Qtd]],Desc_TabelaToda,TB_Vendas[[#This Row],[Indice]],TRUE)</f>
        <v>0.1</v>
      </c>
      <c r="K46" s="70" cm="1">
        <f t="array" ref="K46">INDEX(Desc_TabelaToda,MATCH(TB_Vendas[[#This Row],[Qtd]],Desc_Quantidades,1),MATCH(_xlfn.XLOOKUP(TB_Vendas[[#This Row],[Código]],TB_Produtos[[#All],[Código]],TB_Produtos[[#All],[Categoria]]),Desc_Categorias,0))</f>
        <v>0.1</v>
      </c>
      <c r="L46" s="70">
        <f>_xlfn.XLOOKUP(TB_Vendas[[#This Row],[Vendedor]],Vendedores!$A$5:$A$9,Vendedores!$D$6:$D$10)</f>
        <v>0.1</v>
      </c>
      <c r="M46" s="70">
        <f>IF(TB_Vendas[[#This Row],[Desconto (Diretão)]]&gt;TB_Vendas[[#This Row],[Desconto do Vendedor]],TB_Vendas[[#This Row],[Desconto do Vendedor]],TB_Vendas[[#This Row],[Desconto (Diretão)]])</f>
        <v>0.1</v>
      </c>
      <c r="N46" s="8">
        <f>TB_Vendas[[#This Row],[Preço Unitário]]*TB_Vendas[[#This Row],[Qtd]]</f>
        <v>91.4</v>
      </c>
      <c r="O46" s="1" t="s">
        <v>127</v>
      </c>
    </row>
    <row r="47" spans="1:15">
      <c r="A47" s="10">
        <f>MONTH(TB_Vendas[[#This Row],[Data]])</f>
        <v>5</v>
      </c>
      <c r="B47" s="10" t="str">
        <f>PROPER(TEXT(DATE(,TB_Vendas[[#This Row],[Nº]],1),"Mmm"))</f>
        <v>Mai</v>
      </c>
      <c r="C47" s="9">
        <v>45057</v>
      </c>
      <c r="D47" s="10" t="s">
        <v>57</v>
      </c>
      <c r="E47" s="10" t="str">
        <f>_xlfn.XLOOKUP(TB_Vendas[[#This Row],[Código]],TB_Produtos[Código],TB_Produtos[Categoria],"")</f>
        <v>Acessórios</v>
      </c>
      <c r="F47" s="1">
        <v>2</v>
      </c>
      <c r="G47" s="29">
        <f>VLOOKUP(TB_Vendas[[#This Row],[Código]],Produtos!$B$6:$G$66,6,0)</f>
        <v>349.9</v>
      </c>
      <c r="H47" s="125">
        <f>_xlfn.XMATCH(TB_Vendas[[#This Row],[Categoria]],Desc_Categorias,0)</f>
        <v>2</v>
      </c>
      <c r="I47" s="125" cm="1">
        <f t="array" ref="I4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0.05</v>
      </c>
      <c r="J47" s="70">
        <f>VLOOKUP(TB_Vendas[[#This Row],[Qtd]],Desc_TabelaToda,TB_Vendas[[#This Row],[Indice]],TRUE)</f>
        <v>0.05</v>
      </c>
      <c r="K47" s="70" cm="1">
        <f t="array" ref="K47">INDEX(Desc_TabelaToda,MATCH(TB_Vendas[[#This Row],[Qtd]],Desc_Quantidades,1),MATCH(_xlfn.XLOOKUP(TB_Vendas[[#This Row],[Código]],TB_Produtos[[#All],[Código]],TB_Produtos[[#All],[Categoria]]),Desc_Categorias,0))</f>
        <v>0.05</v>
      </c>
      <c r="L47" s="70">
        <f>_xlfn.XLOOKUP(TB_Vendas[[#This Row],[Vendedor]],Vendedores!$A$5:$A$9,Vendedores!$D$6:$D$10)</f>
        <v>0.15</v>
      </c>
      <c r="M47" s="70">
        <f>IF(TB_Vendas[[#This Row],[Desconto (Diretão)]]&gt;TB_Vendas[[#This Row],[Desconto do Vendedor]],TB_Vendas[[#This Row],[Desconto do Vendedor]],TB_Vendas[[#This Row],[Desconto (Diretão)]])</f>
        <v>0.05</v>
      </c>
      <c r="N47" s="8">
        <f>TB_Vendas[[#This Row],[Preço Unitário]]*TB_Vendas[[#This Row],[Qtd]]</f>
        <v>699.8</v>
      </c>
      <c r="O47" s="1" t="s">
        <v>129</v>
      </c>
    </row>
    <row r="48" spans="1:15">
      <c r="A48" s="10">
        <f>MONTH(TB_Vendas[[#This Row],[Data]])</f>
        <v>5</v>
      </c>
      <c r="B48" s="10" t="str">
        <f>PROPER(TEXT(DATE(,TB_Vendas[[#This Row],[Nº]],1),"Mmm"))</f>
        <v>Mai</v>
      </c>
      <c r="C48" s="9">
        <v>45058</v>
      </c>
      <c r="D48" s="10" t="s">
        <v>32</v>
      </c>
      <c r="E48" s="10" t="str">
        <f>_xlfn.XLOOKUP(TB_Vendas[[#This Row],[Código]],TB_Produtos[Código],TB_Produtos[Categoria],"")</f>
        <v>Vestuário</v>
      </c>
      <c r="F48" s="1">
        <v>3</v>
      </c>
      <c r="G48" s="29">
        <f>VLOOKUP(TB_Vendas[[#This Row],[Código]],Produtos!$B$6:$G$66,6,0)</f>
        <v>65.900000000000006</v>
      </c>
      <c r="H48" s="125">
        <f>_xlfn.XMATCH(TB_Vendas[[#This Row],[Categoria]],Desc_Categorias,0)</f>
        <v>3</v>
      </c>
      <c r="I48" s="125" cm="1">
        <f t="array" ref="I4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48" s="70">
        <f>VLOOKUP(TB_Vendas[[#This Row],[Qtd]],Desc_TabelaToda,TB_Vendas[[#This Row],[Indice]],TRUE)</f>
        <v>0.2</v>
      </c>
      <c r="K48" s="70" cm="1">
        <f t="array" ref="K48">INDEX(Desc_TabelaToda,MATCH(TB_Vendas[[#This Row],[Qtd]],Desc_Quantidades,1),MATCH(_xlfn.XLOOKUP(TB_Vendas[[#This Row],[Código]],TB_Produtos[[#All],[Código]],TB_Produtos[[#All],[Categoria]]),Desc_Categorias,0))</f>
        <v>0.2</v>
      </c>
      <c r="L48" s="70">
        <f>_xlfn.XLOOKUP(TB_Vendas[[#This Row],[Vendedor]],Vendedores!$A$5:$A$9,Vendedores!$D$6:$D$10)</f>
        <v>0.1</v>
      </c>
      <c r="M48" s="70">
        <f>IF(TB_Vendas[[#This Row],[Desconto (Diretão)]]&gt;TB_Vendas[[#This Row],[Desconto do Vendedor]],TB_Vendas[[#This Row],[Desconto do Vendedor]],TB_Vendas[[#This Row],[Desconto (Diretão)]])</f>
        <v>0.1</v>
      </c>
      <c r="N48" s="8">
        <f>TB_Vendas[[#This Row],[Preço Unitário]]*TB_Vendas[[#This Row],[Qtd]]</f>
        <v>197.70000000000002</v>
      </c>
      <c r="O48" s="1" t="s">
        <v>127</v>
      </c>
    </row>
    <row r="49" spans="1:15">
      <c r="A49" s="10">
        <f>MONTH(TB_Vendas[[#This Row],[Data]])</f>
        <v>5</v>
      </c>
      <c r="B49" s="10" t="str">
        <f>PROPER(TEXT(DATE(,TB_Vendas[[#This Row],[Nº]],1),"Mmm"))</f>
        <v>Mai</v>
      </c>
      <c r="C49" s="9">
        <v>45061</v>
      </c>
      <c r="D49" s="10" t="s">
        <v>66</v>
      </c>
      <c r="E49" s="10" t="str">
        <f>_xlfn.XLOOKUP(TB_Vendas[[#This Row],[Código]],TB_Produtos[Código],TB_Produtos[Categoria],"")</f>
        <v>Vestuário</v>
      </c>
      <c r="F49" s="1">
        <v>2</v>
      </c>
      <c r="G49" s="29">
        <f>VLOOKUP(TB_Vendas[[#This Row],[Código]],Produtos!$B$6:$G$66,6,0)</f>
        <v>91.4</v>
      </c>
      <c r="H49" s="125">
        <f>_xlfn.XMATCH(TB_Vendas[[#This Row],[Categoria]],Desc_Categorias,0)</f>
        <v>3</v>
      </c>
      <c r="I49" s="125" cm="1">
        <f t="array" ref="I4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49" s="70">
        <f>VLOOKUP(TB_Vendas[[#This Row],[Qtd]],Desc_TabelaToda,TB_Vendas[[#This Row],[Indice]],TRUE)</f>
        <v>0.15</v>
      </c>
      <c r="K49" s="70" cm="1">
        <f t="array" ref="K49">INDEX(Desc_TabelaToda,MATCH(TB_Vendas[[#This Row],[Qtd]],Desc_Quantidades,1),MATCH(_xlfn.XLOOKUP(TB_Vendas[[#This Row],[Código]],TB_Produtos[[#All],[Código]],TB_Produtos[[#All],[Categoria]]),Desc_Categorias,0))</f>
        <v>0.15</v>
      </c>
      <c r="L49" s="70">
        <f>_xlfn.XLOOKUP(TB_Vendas[[#This Row],[Vendedor]],Vendedores!$A$5:$A$9,Vendedores!$D$6:$D$10)</f>
        <v>0.25</v>
      </c>
      <c r="M49" s="70">
        <f>IF(TB_Vendas[[#This Row],[Desconto (Diretão)]]&gt;TB_Vendas[[#This Row],[Desconto do Vendedor]],TB_Vendas[[#This Row],[Desconto do Vendedor]],TB_Vendas[[#This Row],[Desconto (Diretão)]])</f>
        <v>0.15</v>
      </c>
      <c r="N49" s="8">
        <f>TB_Vendas[[#This Row],[Preço Unitário]]*TB_Vendas[[#This Row],[Qtd]]</f>
        <v>182.8</v>
      </c>
      <c r="O49" s="1" t="s">
        <v>126</v>
      </c>
    </row>
    <row r="50" spans="1:15">
      <c r="A50" s="10">
        <f>MONTH(TB_Vendas[[#This Row],[Data]])</f>
        <v>5</v>
      </c>
      <c r="B50" s="10" t="str">
        <f>PROPER(TEXT(DATE(,TB_Vendas[[#This Row],[Nº]],1),"Mmm"))</f>
        <v>Mai</v>
      </c>
      <c r="C50" s="9">
        <v>45064</v>
      </c>
      <c r="D50" s="10" t="s">
        <v>36</v>
      </c>
      <c r="E50" s="10" t="str">
        <f>_xlfn.XLOOKUP(TB_Vendas[[#This Row],[Código]],TB_Produtos[Código],TB_Produtos[Categoria],"")</f>
        <v>Acessórios</v>
      </c>
      <c r="F50" s="1">
        <v>4</v>
      </c>
      <c r="G50" s="29">
        <f>VLOOKUP(TB_Vendas[[#This Row],[Código]],Produtos!$B$6:$G$66,6,0)</f>
        <v>259.89999999999998</v>
      </c>
      <c r="H50" s="125">
        <f>_xlfn.XMATCH(TB_Vendas[[#This Row],[Categoria]],Desc_Categorias,0)</f>
        <v>2</v>
      </c>
      <c r="I50" s="125" cm="1">
        <f t="array" ref="I5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50" s="70">
        <f>VLOOKUP(TB_Vendas[[#This Row],[Qtd]],Desc_TabelaToda,TB_Vendas[[#This Row],[Indice]],TRUE)</f>
        <v>0.15</v>
      </c>
      <c r="K50" s="70" cm="1">
        <f t="array" ref="K50">INDEX(Desc_TabelaToda,MATCH(TB_Vendas[[#This Row],[Qtd]],Desc_Quantidades,1),MATCH(_xlfn.XLOOKUP(TB_Vendas[[#This Row],[Código]],TB_Produtos[[#All],[Código]],TB_Produtos[[#All],[Categoria]]),Desc_Categorias,0))</f>
        <v>0.15</v>
      </c>
      <c r="L50" s="70">
        <f>_xlfn.XLOOKUP(TB_Vendas[[#This Row],[Vendedor]],Vendedores!$A$5:$A$9,Vendedores!$D$6:$D$10)</f>
        <v>0.1</v>
      </c>
      <c r="M50" s="70">
        <f>IF(TB_Vendas[[#This Row],[Desconto (Diretão)]]&gt;TB_Vendas[[#This Row],[Desconto do Vendedor]],TB_Vendas[[#This Row],[Desconto do Vendedor]],TB_Vendas[[#This Row],[Desconto (Diretão)]])</f>
        <v>0.1</v>
      </c>
      <c r="N50" s="8">
        <f>TB_Vendas[[#This Row],[Preço Unitário]]*TB_Vendas[[#This Row],[Qtd]]</f>
        <v>1039.5999999999999</v>
      </c>
      <c r="O50" s="1" t="s">
        <v>127</v>
      </c>
    </row>
    <row r="51" spans="1:15">
      <c r="A51" s="10">
        <f>MONTH(TB_Vendas[[#This Row],[Data]])</f>
        <v>6</v>
      </c>
      <c r="B51" s="10" t="str">
        <f>PROPER(TEXT(DATE(,TB_Vendas[[#This Row],[Nº]],1),"Mmm"))</f>
        <v>Jun</v>
      </c>
      <c r="C51" s="9">
        <v>45084</v>
      </c>
      <c r="D51" s="10" t="s">
        <v>35</v>
      </c>
      <c r="E51" s="10" t="str">
        <f>_xlfn.XLOOKUP(TB_Vendas[[#This Row],[Código]],TB_Produtos[Código],TB_Produtos[Categoria],"")</f>
        <v>Acessórios</v>
      </c>
      <c r="F51" s="1">
        <v>3</v>
      </c>
      <c r="G51" s="29">
        <f>VLOOKUP(TB_Vendas[[#This Row],[Código]],Produtos!$B$6:$G$66,6,0)</f>
        <v>145</v>
      </c>
      <c r="H51" s="125">
        <f>_xlfn.XMATCH(TB_Vendas[[#This Row],[Categoria]],Desc_Categorias,0)</f>
        <v>2</v>
      </c>
      <c r="I51" s="125" cm="1">
        <f t="array" ref="I5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51" s="70">
        <f>VLOOKUP(TB_Vendas[[#This Row],[Qtd]],Desc_TabelaToda,TB_Vendas[[#This Row],[Indice]],TRUE)</f>
        <v>0.15</v>
      </c>
      <c r="K51" s="70" cm="1">
        <f t="array" ref="K51">INDEX(Desc_TabelaToda,MATCH(TB_Vendas[[#This Row],[Qtd]],Desc_Quantidades,1),MATCH(_xlfn.XLOOKUP(TB_Vendas[[#This Row],[Código]],TB_Produtos[[#All],[Código]],TB_Produtos[[#All],[Categoria]]),Desc_Categorias,0))</f>
        <v>0.15</v>
      </c>
      <c r="L51" s="70">
        <f>_xlfn.XLOOKUP(TB_Vendas[[#This Row],[Vendedor]],Vendedores!$A$5:$A$9,Vendedores!$D$6:$D$10)</f>
        <v>0.25</v>
      </c>
      <c r="M51" s="70">
        <f>IF(TB_Vendas[[#This Row],[Desconto (Diretão)]]&gt;TB_Vendas[[#This Row],[Desconto do Vendedor]],TB_Vendas[[#This Row],[Desconto do Vendedor]],TB_Vendas[[#This Row],[Desconto (Diretão)]])</f>
        <v>0.15</v>
      </c>
      <c r="N51" s="8">
        <f>TB_Vendas[[#This Row],[Preço Unitário]]*TB_Vendas[[#This Row],[Qtd]]</f>
        <v>435</v>
      </c>
      <c r="O51" s="1" t="s">
        <v>126</v>
      </c>
    </row>
    <row r="52" spans="1:15">
      <c r="A52" s="10">
        <f>MONTH(TB_Vendas[[#This Row],[Data]])</f>
        <v>6</v>
      </c>
      <c r="B52" s="10" t="str">
        <f>PROPER(TEXT(DATE(,TB_Vendas[[#This Row],[Nº]],1),"Mmm"))</f>
        <v>Jun</v>
      </c>
      <c r="C52" s="9">
        <v>45084</v>
      </c>
      <c r="D52" s="10" t="s">
        <v>69</v>
      </c>
      <c r="E52" s="10" t="str">
        <f>_xlfn.XLOOKUP(TB_Vendas[[#This Row],[Código]],TB_Produtos[Código],TB_Produtos[Categoria],"")</f>
        <v>Vestuário</v>
      </c>
      <c r="F52" s="1">
        <v>2</v>
      </c>
      <c r="G52" s="29">
        <f>VLOOKUP(TB_Vendas[[#This Row],[Código]],Produtos!$B$6:$G$66,6,0)</f>
        <v>142.9</v>
      </c>
      <c r="H52" s="125">
        <f>_xlfn.XMATCH(TB_Vendas[[#This Row],[Categoria]],Desc_Categorias,0)</f>
        <v>3</v>
      </c>
      <c r="I52" s="125" cm="1">
        <f t="array" ref="I5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52" s="70">
        <f>VLOOKUP(TB_Vendas[[#This Row],[Qtd]],Desc_TabelaToda,TB_Vendas[[#This Row],[Indice]],TRUE)</f>
        <v>0.15</v>
      </c>
      <c r="K52" s="70" cm="1">
        <f t="array" ref="K52">INDEX(Desc_TabelaToda,MATCH(TB_Vendas[[#This Row],[Qtd]],Desc_Quantidades,1),MATCH(_xlfn.XLOOKUP(TB_Vendas[[#This Row],[Código]],TB_Produtos[[#All],[Código]],TB_Produtos[[#All],[Categoria]]),Desc_Categorias,0))</f>
        <v>0.15</v>
      </c>
      <c r="L52" s="70">
        <f>_xlfn.XLOOKUP(TB_Vendas[[#This Row],[Vendedor]],Vendedores!$A$5:$A$9,Vendedores!$D$6:$D$10)</f>
        <v>0.2</v>
      </c>
      <c r="M52" s="70">
        <f>IF(TB_Vendas[[#This Row],[Desconto (Diretão)]]&gt;TB_Vendas[[#This Row],[Desconto do Vendedor]],TB_Vendas[[#This Row],[Desconto do Vendedor]],TB_Vendas[[#This Row],[Desconto (Diretão)]])</f>
        <v>0.15</v>
      </c>
      <c r="N52" s="8">
        <f>TB_Vendas[[#This Row],[Preço Unitário]]*TB_Vendas[[#This Row],[Qtd]]</f>
        <v>285.8</v>
      </c>
      <c r="O52" s="1" t="s">
        <v>128</v>
      </c>
    </row>
    <row r="53" spans="1:15">
      <c r="A53" s="10">
        <f>MONTH(TB_Vendas[[#This Row],[Data]])</f>
        <v>6</v>
      </c>
      <c r="B53" s="10" t="str">
        <f>PROPER(TEXT(DATE(,TB_Vendas[[#This Row],[Nº]],1),"Mmm"))</f>
        <v>Jun</v>
      </c>
      <c r="C53" s="9">
        <v>45086</v>
      </c>
      <c r="D53" s="10" t="s">
        <v>122</v>
      </c>
      <c r="E53" s="10" t="str">
        <f>_xlfn.XLOOKUP(TB_Vendas[[#This Row],[Código]],TB_Produtos[Código],TB_Produtos[Categoria],"")</f>
        <v>Vestuário</v>
      </c>
      <c r="F53" s="1">
        <v>2</v>
      </c>
      <c r="G53" s="29">
        <f>VLOOKUP(TB_Vendas[[#This Row],[Código]],Produtos!$B$6:$G$66,6,0)</f>
        <v>180</v>
      </c>
      <c r="H53" s="125">
        <f>_xlfn.XMATCH(TB_Vendas[[#This Row],[Categoria]],Desc_Categorias,0)</f>
        <v>3</v>
      </c>
      <c r="I53" s="125" cm="1">
        <f t="array" ref="I5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53" s="70">
        <f>VLOOKUP(TB_Vendas[[#This Row],[Qtd]],Desc_TabelaToda,TB_Vendas[[#This Row],[Indice]],TRUE)</f>
        <v>0.15</v>
      </c>
      <c r="K53" s="70" cm="1">
        <f t="array" ref="K53">INDEX(Desc_TabelaToda,MATCH(TB_Vendas[[#This Row],[Qtd]],Desc_Quantidades,1),MATCH(_xlfn.XLOOKUP(TB_Vendas[[#This Row],[Código]],TB_Produtos[[#All],[Código]],TB_Produtos[[#All],[Categoria]]),Desc_Categorias,0))</f>
        <v>0.15</v>
      </c>
      <c r="L53" s="70">
        <f>_xlfn.XLOOKUP(TB_Vendas[[#This Row],[Vendedor]],Vendedores!$A$5:$A$9,Vendedores!$D$6:$D$10)</f>
        <v>0.25</v>
      </c>
      <c r="M53" s="70">
        <f>IF(TB_Vendas[[#This Row],[Desconto (Diretão)]]&gt;TB_Vendas[[#This Row],[Desconto do Vendedor]],TB_Vendas[[#This Row],[Desconto do Vendedor]],TB_Vendas[[#This Row],[Desconto (Diretão)]])</f>
        <v>0.15</v>
      </c>
      <c r="N53" s="8">
        <f>TB_Vendas[[#This Row],[Preço Unitário]]*TB_Vendas[[#This Row],[Qtd]]</f>
        <v>360</v>
      </c>
      <c r="O53" s="1" t="s">
        <v>126</v>
      </c>
    </row>
    <row r="54" spans="1:15">
      <c r="A54" s="10">
        <f>MONTH(TB_Vendas[[#This Row],[Data]])</f>
        <v>6</v>
      </c>
      <c r="B54" s="10" t="str">
        <f>PROPER(TEXT(DATE(,TB_Vendas[[#This Row],[Nº]],1),"Mmm"))</f>
        <v>Jun</v>
      </c>
      <c r="C54" s="9">
        <v>45086</v>
      </c>
      <c r="D54" s="10" t="s">
        <v>46</v>
      </c>
      <c r="E54" s="10" t="str">
        <f>_xlfn.XLOOKUP(TB_Vendas[[#This Row],[Código]],TB_Produtos[Código],TB_Produtos[Categoria],"")</f>
        <v>Vestuário</v>
      </c>
      <c r="F54" s="1">
        <v>2</v>
      </c>
      <c r="G54" s="29">
        <f>VLOOKUP(TB_Vendas[[#This Row],[Código]],Produtos!$B$6:$G$66,6,0)</f>
        <v>42.5</v>
      </c>
      <c r="H54" s="125">
        <f>_xlfn.XMATCH(TB_Vendas[[#This Row],[Categoria]],Desc_Categorias,0)</f>
        <v>3</v>
      </c>
      <c r="I54" s="125" cm="1">
        <f t="array" ref="I5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54" s="70">
        <f>VLOOKUP(TB_Vendas[[#This Row],[Qtd]],Desc_TabelaToda,TB_Vendas[[#This Row],[Indice]],TRUE)</f>
        <v>0.15</v>
      </c>
      <c r="K54" s="70" cm="1">
        <f t="array" ref="K54">INDEX(Desc_TabelaToda,MATCH(TB_Vendas[[#This Row],[Qtd]],Desc_Quantidades,1),MATCH(_xlfn.XLOOKUP(TB_Vendas[[#This Row],[Código]],TB_Produtos[[#All],[Código]],TB_Produtos[[#All],[Categoria]]),Desc_Categorias,0))</f>
        <v>0.15</v>
      </c>
      <c r="L54" s="70">
        <f>_xlfn.XLOOKUP(TB_Vendas[[#This Row],[Vendedor]],Vendedores!$A$5:$A$9,Vendedores!$D$6:$D$10)</f>
        <v>0.2</v>
      </c>
      <c r="M54" s="70">
        <f>IF(TB_Vendas[[#This Row],[Desconto (Diretão)]]&gt;TB_Vendas[[#This Row],[Desconto do Vendedor]],TB_Vendas[[#This Row],[Desconto do Vendedor]],TB_Vendas[[#This Row],[Desconto (Diretão)]])</f>
        <v>0.15</v>
      </c>
      <c r="N54" s="8">
        <f>TB_Vendas[[#This Row],[Preço Unitário]]*TB_Vendas[[#This Row],[Qtd]]</f>
        <v>85</v>
      </c>
      <c r="O54" s="1" t="s">
        <v>128</v>
      </c>
    </row>
    <row r="55" spans="1:15">
      <c r="A55" s="10">
        <f>MONTH(TB_Vendas[[#This Row],[Data]])</f>
        <v>6</v>
      </c>
      <c r="B55" s="10" t="str">
        <f>PROPER(TEXT(DATE(,TB_Vendas[[#This Row],[Nº]],1),"Mmm"))</f>
        <v>Jun</v>
      </c>
      <c r="C55" s="9">
        <v>45088</v>
      </c>
      <c r="D55" s="10" t="s">
        <v>32</v>
      </c>
      <c r="E55" s="10" t="str">
        <f>_xlfn.XLOOKUP(TB_Vendas[[#This Row],[Código]],TB_Produtos[Código],TB_Produtos[Categoria],"")</f>
        <v>Vestuário</v>
      </c>
      <c r="F55" s="1">
        <v>1</v>
      </c>
      <c r="G55" s="29">
        <f>VLOOKUP(TB_Vendas[[#This Row],[Código]],Produtos!$B$6:$G$66,6,0)</f>
        <v>65.900000000000006</v>
      </c>
      <c r="H55" s="125">
        <f>_xlfn.XMATCH(TB_Vendas[[#This Row],[Categoria]],Desc_Categorias,0)</f>
        <v>3</v>
      </c>
      <c r="I55" s="125" cm="1">
        <f t="array" ref="I5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55" s="70">
        <f>VLOOKUP(TB_Vendas[[#This Row],[Qtd]],Desc_TabelaToda,TB_Vendas[[#This Row],[Indice]],TRUE)</f>
        <v>0.1</v>
      </c>
      <c r="K55" s="70" cm="1">
        <f t="array" ref="K55">INDEX(Desc_TabelaToda,MATCH(TB_Vendas[[#This Row],[Qtd]],Desc_Quantidades,1),MATCH(_xlfn.XLOOKUP(TB_Vendas[[#This Row],[Código]],TB_Produtos[[#All],[Código]],TB_Produtos[[#All],[Categoria]]),Desc_Categorias,0))</f>
        <v>0.1</v>
      </c>
      <c r="L55" s="70">
        <f>_xlfn.XLOOKUP(TB_Vendas[[#This Row],[Vendedor]],Vendedores!$A$5:$A$9,Vendedores!$D$6:$D$10)</f>
        <v>0.1</v>
      </c>
      <c r="M55" s="70">
        <f>IF(TB_Vendas[[#This Row],[Desconto (Diretão)]]&gt;TB_Vendas[[#This Row],[Desconto do Vendedor]],TB_Vendas[[#This Row],[Desconto do Vendedor]],TB_Vendas[[#This Row],[Desconto (Diretão)]])</f>
        <v>0.1</v>
      </c>
      <c r="N55" s="8">
        <f>TB_Vendas[[#This Row],[Preço Unitário]]*TB_Vendas[[#This Row],[Qtd]]</f>
        <v>65.900000000000006</v>
      </c>
      <c r="O55" s="1" t="s">
        <v>127</v>
      </c>
    </row>
    <row r="56" spans="1:15">
      <c r="A56" s="10">
        <f>MONTH(TB_Vendas[[#This Row],[Data]])</f>
        <v>6</v>
      </c>
      <c r="B56" s="10" t="str">
        <f>PROPER(TEXT(DATE(,TB_Vendas[[#This Row],[Nº]],1),"Mmm"))</f>
        <v>Jun</v>
      </c>
      <c r="C56" s="9">
        <v>45090</v>
      </c>
      <c r="D56" s="10" t="s">
        <v>119</v>
      </c>
      <c r="E56" s="10" t="str">
        <f>_xlfn.XLOOKUP(TB_Vendas[[#This Row],[Código]],TB_Produtos[Código],TB_Produtos[Categoria],"")</f>
        <v>Vestuário</v>
      </c>
      <c r="F56" s="1">
        <v>1</v>
      </c>
      <c r="G56" s="29">
        <f>VLOOKUP(TB_Vendas[[#This Row],[Código]],Produtos!$B$6:$G$66,6,0)</f>
        <v>180</v>
      </c>
      <c r="H56" s="125">
        <f>_xlfn.XMATCH(TB_Vendas[[#This Row],[Categoria]],Desc_Categorias,0)</f>
        <v>3</v>
      </c>
      <c r="I56" s="125" cm="1">
        <f t="array" ref="I5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56" s="70">
        <f>VLOOKUP(TB_Vendas[[#This Row],[Qtd]],Desc_TabelaToda,TB_Vendas[[#This Row],[Indice]],TRUE)</f>
        <v>0.1</v>
      </c>
      <c r="K56" s="70" cm="1">
        <f t="array" ref="K56">INDEX(Desc_TabelaToda,MATCH(TB_Vendas[[#This Row],[Qtd]],Desc_Quantidades,1),MATCH(_xlfn.XLOOKUP(TB_Vendas[[#This Row],[Código]],TB_Produtos[[#All],[Código]],TB_Produtos[[#All],[Categoria]]),Desc_Categorias,0))</f>
        <v>0.1</v>
      </c>
      <c r="L56" s="70">
        <f>_xlfn.XLOOKUP(TB_Vendas[[#This Row],[Vendedor]],Vendedores!$A$5:$A$9,Vendedores!$D$6:$D$10)</f>
        <v>0.2</v>
      </c>
      <c r="M56" s="70">
        <f>IF(TB_Vendas[[#This Row],[Desconto (Diretão)]]&gt;TB_Vendas[[#This Row],[Desconto do Vendedor]],TB_Vendas[[#This Row],[Desconto do Vendedor]],TB_Vendas[[#This Row],[Desconto (Diretão)]])</f>
        <v>0.1</v>
      </c>
      <c r="N56" s="8">
        <f>TB_Vendas[[#This Row],[Preço Unitário]]*TB_Vendas[[#This Row],[Qtd]]</f>
        <v>180</v>
      </c>
      <c r="O56" s="1" t="s">
        <v>128</v>
      </c>
    </row>
    <row r="57" spans="1:15">
      <c r="A57" s="10">
        <f>MONTH(TB_Vendas[[#This Row],[Data]])</f>
        <v>6</v>
      </c>
      <c r="B57" s="10" t="str">
        <f>PROPER(TEXT(DATE(,TB_Vendas[[#This Row],[Nº]],1),"Mmm"))</f>
        <v>Jun</v>
      </c>
      <c r="C57" s="9">
        <v>45093</v>
      </c>
      <c r="D57" s="10" t="s">
        <v>109</v>
      </c>
      <c r="E57" s="10" t="str">
        <f>_xlfn.XLOOKUP(TB_Vendas[[#This Row],[Código]],TB_Produtos[Código],TB_Produtos[Categoria],"")</f>
        <v>Vestuário</v>
      </c>
      <c r="F57" s="1">
        <v>3</v>
      </c>
      <c r="G57" s="29">
        <f>VLOOKUP(TB_Vendas[[#This Row],[Código]],Produtos!$B$6:$G$66,6,0)</f>
        <v>32.9</v>
      </c>
      <c r="H57" s="125">
        <f>_xlfn.XMATCH(TB_Vendas[[#This Row],[Categoria]],Desc_Categorias,0)</f>
        <v>3</v>
      </c>
      <c r="I57" s="125" cm="1">
        <f t="array" ref="I5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57" s="70">
        <f>VLOOKUP(TB_Vendas[[#This Row],[Qtd]],Desc_TabelaToda,TB_Vendas[[#This Row],[Indice]],TRUE)</f>
        <v>0.2</v>
      </c>
      <c r="K57" s="70" cm="1">
        <f t="array" ref="K57">INDEX(Desc_TabelaToda,MATCH(TB_Vendas[[#This Row],[Qtd]],Desc_Quantidades,1),MATCH(_xlfn.XLOOKUP(TB_Vendas[[#This Row],[Código]],TB_Produtos[[#All],[Código]],TB_Produtos[[#All],[Categoria]]),Desc_Categorias,0))</f>
        <v>0.2</v>
      </c>
      <c r="L57" s="70">
        <f>_xlfn.XLOOKUP(TB_Vendas[[#This Row],[Vendedor]],Vendedores!$A$5:$A$9,Vendedores!$D$6:$D$10)</f>
        <v>0.1</v>
      </c>
      <c r="M57" s="70">
        <f>IF(TB_Vendas[[#This Row],[Desconto (Diretão)]]&gt;TB_Vendas[[#This Row],[Desconto do Vendedor]],TB_Vendas[[#This Row],[Desconto do Vendedor]],TB_Vendas[[#This Row],[Desconto (Diretão)]])</f>
        <v>0.1</v>
      </c>
      <c r="N57" s="8">
        <f>TB_Vendas[[#This Row],[Preço Unitário]]*TB_Vendas[[#This Row],[Qtd]]</f>
        <v>98.699999999999989</v>
      </c>
      <c r="O57" s="1" t="s">
        <v>127</v>
      </c>
    </row>
    <row r="58" spans="1:15">
      <c r="A58" s="10">
        <f>MONTH(TB_Vendas[[#This Row],[Data]])</f>
        <v>6</v>
      </c>
      <c r="B58" s="10" t="str">
        <f>PROPER(TEXT(DATE(,TB_Vendas[[#This Row],[Nº]],1),"Mmm"))</f>
        <v>Jun</v>
      </c>
      <c r="C58" s="9">
        <v>45093</v>
      </c>
      <c r="D58" s="10" t="s">
        <v>40</v>
      </c>
      <c r="E58" s="10" t="str">
        <f>_xlfn.XLOOKUP(TB_Vendas[[#This Row],[Código]],TB_Produtos[Código],TB_Produtos[Categoria],"")</f>
        <v>Vestuário</v>
      </c>
      <c r="F58" s="1">
        <v>4</v>
      </c>
      <c r="G58" s="29">
        <f>VLOOKUP(TB_Vendas[[#This Row],[Código]],Produtos!$B$6:$G$66,6,0)</f>
        <v>92.9</v>
      </c>
      <c r="H58" s="125">
        <f>_xlfn.XMATCH(TB_Vendas[[#This Row],[Categoria]],Desc_Categorias,0)</f>
        <v>3</v>
      </c>
      <c r="I58" s="125" cm="1">
        <f t="array" ref="I5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58" s="70">
        <f>VLOOKUP(TB_Vendas[[#This Row],[Qtd]],Desc_TabelaToda,TB_Vendas[[#This Row],[Indice]],TRUE)</f>
        <v>0.2</v>
      </c>
      <c r="K58" s="70" cm="1">
        <f t="array" ref="K58">INDEX(Desc_TabelaToda,MATCH(TB_Vendas[[#This Row],[Qtd]],Desc_Quantidades,1),MATCH(_xlfn.XLOOKUP(TB_Vendas[[#This Row],[Código]],TB_Produtos[[#All],[Código]],TB_Produtos[[#All],[Categoria]]),Desc_Categorias,0))</f>
        <v>0.2</v>
      </c>
      <c r="L58" s="70">
        <f>_xlfn.XLOOKUP(TB_Vendas[[#This Row],[Vendedor]],Vendedores!$A$5:$A$9,Vendedores!$D$6:$D$10)</f>
        <v>0.25</v>
      </c>
      <c r="M58" s="70">
        <f>IF(TB_Vendas[[#This Row],[Desconto (Diretão)]]&gt;TB_Vendas[[#This Row],[Desconto do Vendedor]],TB_Vendas[[#This Row],[Desconto do Vendedor]],TB_Vendas[[#This Row],[Desconto (Diretão)]])</f>
        <v>0.2</v>
      </c>
      <c r="N58" s="8">
        <f>TB_Vendas[[#This Row],[Preço Unitário]]*TB_Vendas[[#This Row],[Qtd]]</f>
        <v>371.6</v>
      </c>
      <c r="O58" s="1" t="s">
        <v>126</v>
      </c>
    </row>
    <row r="59" spans="1:15">
      <c r="A59" s="10">
        <f>MONTH(TB_Vendas[[#This Row],[Data]])</f>
        <v>6</v>
      </c>
      <c r="B59" s="10" t="str">
        <f>PROPER(TEXT(DATE(,TB_Vendas[[#This Row],[Nº]],1),"Mmm"))</f>
        <v>Jun</v>
      </c>
      <c r="C59" s="9">
        <v>45094</v>
      </c>
      <c r="D59" s="10" t="s">
        <v>64</v>
      </c>
      <c r="E59" s="10" t="str">
        <f>_xlfn.XLOOKUP(TB_Vendas[[#This Row],[Código]],TB_Produtos[Código],TB_Produtos[Categoria],"")</f>
        <v>Calçado</v>
      </c>
      <c r="F59" s="1">
        <v>2</v>
      </c>
      <c r="G59" s="29">
        <f>VLOOKUP(TB_Vendas[[#This Row],[Código]],Produtos!$B$6:$G$66,6,0)</f>
        <v>259.89999999999998</v>
      </c>
      <c r="H59" s="125">
        <f>_xlfn.XMATCH(TB_Vendas[[#This Row],[Categoria]],Desc_Categorias,0)</f>
        <v>4</v>
      </c>
      <c r="I59" s="125" cm="1">
        <f t="array" ref="I5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59" s="70">
        <f>VLOOKUP(TB_Vendas[[#This Row],[Qtd]],Desc_TabelaToda,TB_Vendas[[#This Row],[Indice]],TRUE)</f>
        <v>0.1</v>
      </c>
      <c r="K59" s="70" cm="1">
        <f t="array" ref="K59">INDEX(Desc_TabelaToda,MATCH(TB_Vendas[[#This Row],[Qtd]],Desc_Quantidades,1),MATCH(_xlfn.XLOOKUP(TB_Vendas[[#This Row],[Código]],TB_Produtos[[#All],[Código]],TB_Produtos[[#All],[Categoria]]),Desc_Categorias,0))</f>
        <v>0.1</v>
      </c>
      <c r="L59" s="70">
        <f>_xlfn.XLOOKUP(TB_Vendas[[#This Row],[Vendedor]],Vendedores!$A$5:$A$9,Vendedores!$D$6:$D$10)</f>
        <v>0.2</v>
      </c>
      <c r="M59" s="70">
        <f>IF(TB_Vendas[[#This Row],[Desconto (Diretão)]]&gt;TB_Vendas[[#This Row],[Desconto do Vendedor]],TB_Vendas[[#This Row],[Desconto do Vendedor]],TB_Vendas[[#This Row],[Desconto (Diretão)]])</f>
        <v>0.1</v>
      </c>
      <c r="N59" s="8">
        <f>TB_Vendas[[#This Row],[Preço Unitário]]*TB_Vendas[[#This Row],[Qtd]]</f>
        <v>519.79999999999995</v>
      </c>
      <c r="O59" s="1" t="s">
        <v>128</v>
      </c>
    </row>
    <row r="60" spans="1:15">
      <c r="A60" s="10">
        <f>MONTH(TB_Vendas[[#This Row],[Data]])</f>
        <v>6</v>
      </c>
      <c r="B60" s="10" t="str">
        <f>PROPER(TEXT(DATE(,TB_Vendas[[#This Row],[Nº]],1),"Mmm"))</f>
        <v>Jun</v>
      </c>
      <c r="C60" s="9">
        <v>45097</v>
      </c>
      <c r="D60" s="10" t="s">
        <v>55</v>
      </c>
      <c r="E60" s="10" t="str">
        <f>_xlfn.XLOOKUP(TB_Vendas[[#This Row],[Código]],TB_Produtos[Código],TB_Produtos[Categoria],"")</f>
        <v>Vestuário</v>
      </c>
      <c r="F60" s="1">
        <v>1</v>
      </c>
      <c r="G60" s="29">
        <f>VLOOKUP(TB_Vendas[[#This Row],[Código]],Produtos!$B$6:$G$66,6,0)</f>
        <v>259.89999999999998</v>
      </c>
      <c r="H60" s="125">
        <f>_xlfn.XMATCH(TB_Vendas[[#This Row],[Categoria]],Desc_Categorias,0)</f>
        <v>3</v>
      </c>
      <c r="I60" s="125" cm="1">
        <f t="array" ref="I6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60" s="70">
        <f>VLOOKUP(TB_Vendas[[#This Row],[Qtd]],Desc_TabelaToda,TB_Vendas[[#This Row],[Indice]],TRUE)</f>
        <v>0.1</v>
      </c>
      <c r="K60" s="70" cm="1">
        <f t="array" ref="K60">INDEX(Desc_TabelaToda,MATCH(TB_Vendas[[#This Row],[Qtd]],Desc_Quantidades,1),MATCH(_xlfn.XLOOKUP(TB_Vendas[[#This Row],[Código]],TB_Produtos[[#All],[Código]],TB_Produtos[[#All],[Categoria]]),Desc_Categorias,0))</f>
        <v>0.1</v>
      </c>
      <c r="L60" s="70">
        <f>_xlfn.XLOOKUP(TB_Vendas[[#This Row],[Vendedor]],Vendedores!$A$5:$A$9,Vendedores!$D$6:$D$10)</f>
        <v>0</v>
      </c>
      <c r="M60" s="70">
        <f>IF(TB_Vendas[[#This Row],[Desconto (Diretão)]]&gt;TB_Vendas[[#This Row],[Desconto do Vendedor]],TB_Vendas[[#This Row],[Desconto do Vendedor]],TB_Vendas[[#This Row],[Desconto (Diretão)]])</f>
        <v>0</v>
      </c>
      <c r="N60" s="8">
        <f>TB_Vendas[[#This Row],[Preço Unitário]]*TB_Vendas[[#This Row],[Qtd]]</f>
        <v>259.89999999999998</v>
      </c>
      <c r="O60" s="1" t="s">
        <v>130</v>
      </c>
    </row>
    <row r="61" spans="1:15">
      <c r="A61" s="10">
        <f>MONTH(TB_Vendas[[#This Row],[Data]])</f>
        <v>6</v>
      </c>
      <c r="B61" s="10" t="str">
        <f>PROPER(TEXT(DATE(,TB_Vendas[[#This Row],[Nº]],1),"Mmm"))</f>
        <v>Jun</v>
      </c>
      <c r="C61" s="9">
        <v>45105</v>
      </c>
      <c r="D61" s="10" t="s">
        <v>46</v>
      </c>
      <c r="E61" s="10" t="str">
        <f>_xlfn.XLOOKUP(TB_Vendas[[#This Row],[Código]],TB_Produtos[Código],TB_Produtos[Categoria],"")</f>
        <v>Vestuário</v>
      </c>
      <c r="F61" s="1">
        <v>5</v>
      </c>
      <c r="G61" s="29">
        <f>VLOOKUP(TB_Vendas[[#This Row],[Código]],Produtos!$B$6:$G$66,6,0)</f>
        <v>42.5</v>
      </c>
      <c r="H61" s="125">
        <f>_xlfn.XMATCH(TB_Vendas[[#This Row],[Categoria]],Desc_Categorias,0)</f>
        <v>3</v>
      </c>
      <c r="I61" s="125" cm="1">
        <f t="array" ref="I6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61" s="70">
        <f>VLOOKUP(TB_Vendas[[#This Row],[Qtd]],Desc_TabelaToda,TB_Vendas[[#This Row],[Indice]],TRUE)</f>
        <v>0.25</v>
      </c>
      <c r="K61" s="70" cm="1">
        <f t="array" ref="K61">INDEX(Desc_TabelaToda,MATCH(TB_Vendas[[#This Row],[Qtd]],Desc_Quantidades,1),MATCH(_xlfn.XLOOKUP(TB_Vendas[[#This Row],[Código]],TB_Produtos[[#All],[Código]],TB_Produtos[[#All],[Categoria]]),Desc_Categorias,0))</f>
        <v>0.25</v>
      </c>
      <c r="L61" s="70">
        <f>_xlfn.XLOOKUP(TB_Vendas[[#This Row],[Vendedor]],Vendedores!$A$5:$A$9,Vendedores!$D$6:$D$10)</f>
        <v>0</v>
      </c>
      <c r="M61" s="70">
        <f>IF(TB_Vendas[[#This Row],[Desconto (Diretão)]]&gt;TB_Vendas[[#This Row],[Desconto do Vendedor]],TB_Vendas[[#This Row],[Desconto do Vendedor]],TB_Vendas[[#This Row],[Desconto (Diretão)]])</f>
        <v>0</v>
      </c>
      <c r="N61" s="8">
        <f>TB_Vendas[[#This Row],[Preço Unitário]]*TB_Vendas[[#This Row],[Qtd]]</f>
        <v>212.5</v>
      </c>
      <c r="O61" s="1" t="s">
        <v>130</v>
      </c>
    </row>
    <row r="62" spans="1:15">
      <c r="A62" s="10">
        <f>MONTH(TB_Vendas[[#This Row],[Data]])</f>
        <v>6</v>
      </c>
      <c r="B62" s="10" t="str">
        <f>PROPER(TEXT(DATE(,TB_Vendas[[#This Row],[Nº]],1),"Mmm"))</f>
        <v>Jun</v>
      </c>
      <c r="C62" s="9">
        <v>45105</v>
      </c>
      <c r="D62" s="10" t="s">
        <v>109</v>
      </c>
      <c r="E62" s="10" t="str">
        <f>_xlfn.XLOOKUP(TB_Vendas[[#This Row],[Código]],TB_Produtos[Código],TB_Produtos[Categoria],"")</f>
        <v>Vestuário</v>
      </c>
      <c r="F62" s="1">
        <v>2</v>
      </c>
      <c r="G62" s="29">
        <f>VLOOKUP(TB_Vendas[[#This Row],[Código]],Produtos!$B$6:$G$66,6,0)</f>
        <v>32.9</v>
      </c>
      <c r="H62" s="125">
        <f>_xlfn.XMATCH(TB_Vendas[[#This Row],[Categoria]],Desc_Categorias,0)</f>
        <v>3</v>
      </c>
      <c r="I62" s="125" cm="1">
        <f t="array" ref="I6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62" s="70">
        <f>VLOOKUP(TB_Vendas[[#This Row],[Qtd]],Desc_TabelaToda,TB_Vendas[[#This Row],[Indice]],TRUE)</f>
        <v>0.15</v>
      </c>
      <c r="K62" s="70" cm="1">
        <f t="array" ref="K62">INDEX(Desc_TabelaToda,MATCH(TB_Vendas[[#This Row],[Qtd]],Desc_Quantidades,1),MATCH(_xlfn.XLOOKUP(TB_Vendas[[#This Row],[Código]],TB_Produtos[[#All],[Código]],TB_Produtos[[#All],[Categoria]]),Desc_Categorias,0))</f>
        <v>0.15</v>
      </c>
      <c r="L62" s="70">
        <f>_xlfn.XLOOKUP(TB_Vendas[[#This Row],[Vendedor]],Vendedores!$A$5:$A$9,Vendedores!$D$6:$D$10)</f>
        <v>0</v>
      </c>
      <c r="M62" s="70">
        <f>IF(TB_Vendas[[#This Row],[Desconto (Diretão)]]&gt;TB_Vendas[[#This Row],[Desconto do Vendedor]],TB_Vendas[[#This Row],[Desconto do Vendedor]],TB_Vendas[[#This Row],[Desconto (Diretão)]])</f>
        <v>0</v>
      </c>
      <c r="N62" s="8">
        <f>TB_Vendas[[#This Row],[Preço Unitário]]*TB_Vendas[[#This Row],[Qtd]]</f>
        <v>65.8</v>
      </c>
      <c r="O62" s="1" t="s">
        <v>130</v>
      </c>
    </row>
    <row r="63" spans="1:15">
      <c r="A63" s="10">
        <f>MONTH(TB_Vendas[[#This Row],[Data]])</f>
        <v>6</v>
      </c>
      <c r="B63" s="10" t="str">
        <f>PROPER(TEXT(DATE(,TB_Vendas[[#This Row],[Nº]],1),"Mmm"))</f>
        <v>Jun</v>
      </c>
      <c r="C63" s="9">
        <v>45106</v>
      </c>
      <c r="D63" s="10" t="s">
        <v>40</v>
      </c>
      <c r="E63" s="10" t="str">
        <f>_xlfn.XLOOKUP(TB_Vendas[[#This Row],[Código]],TB_Produtos[Código],TB_Produtos[Categoria],"")</f>
        <v>Vestuário</v>
      </c>
      <c r="F63" s="1">
        <v>3</v>
      </c>
      <c r="G63" s="29">
        <f>VLOOKUP(TB_Vendas[[#This Row],[Código]],Produtos!$B$6:$G$66,6,0)</f>
        <v>92.9</v>
      </c>
      <c r="H63" s="125">
        <f>_xlfn.XMATCH(TB_Vendas[[#This Row],[Categoria]],Desc_Categorias,0)</f>
        <v>3</v>
      </c>
      <c r="I63" s="125" cm="1">
        <f t="array" ref="I6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63" s="70">
        <f>VLOOKUP(TB_Vendas[[#This Row],[Qtd]],Desc_TabelaToda,TB_Vendas[[#This Row],[Indice]],TRUE)</f>
        <v>0.2</v>
      </c>
      <c r="K63" s="70" cm="1">
        <f t="array" ref="K63">INDEX(Desc_TabelaToda,MATCH(TB_Vendas[[#This Row],[Qtd]],Desc_Quantidades,1),MATCH(_xlfn.XLOOKUP(TB_Vendas[[#This Row],[Código]],TB_Produtos[[#All],[Código]],TB_Produtos[[#All],[Categoria]]),Desc_Categorias,0))</f>
        <v>0.2</v>
      </c>
      <c r="L63" s="70">
        <f>_xlfn.XLOOKUP(TB_Vendas[[#This Row],[Vendedor]],Vendedores!$A$5:$A$9,Vendedores!$D$6:$D$10)</f>
        <v>0.25</v>
      </c>
      <c r="M63" s="70">
        <f>IF(TB_Vendas[[#This Row],[Desconto (Diretão)]]&gt;TB_Vendas[[#This Row],[Desconto do Vendedor]],TB_Vendas[[#This Row],[Desconto do Vendedor]],TB_Vendas[[#This Row],[Desconto (Diretão)]])</f>
        <v>0.2</v>
      </c>
      <c r="N63" s="8">
        <f>TB_Vendas[[#This Row],[Preço Unitário]]*TB_Vendas[[#This Row],[Qtd]]</f>
        <v>278.70000000000005</v>
      </c>
      <c r="O63" s="1" t="s">
        <v>126</v>
      </c>
    </row>
    <row r="64" spans="1:15">
      <c r="A64" s="1">
        <f>MONTH(TB_Vendas[[#This Row],[Data]])</f>
        <v>6</v>
      </c>
      <c r="B64" s="10" t="str">
        <f>PROPER(TEXT(DATE(,TB_Vendas[[#This Row],[Nº]],1),"Mmm"))</f>
        <v>Jun</v>
      </c>
      <c r="C64" s="9">
        <v>45107</v>
      </c>
      <c r="D64" s="10" t="s">
        <v>47</v>
      </c>
      <c r="E64" s="10" t="str">
        <f>_xlfn.XLOOKUP(TB_Vendas[[#This Row],[Código]],TB_Produtos[Código],TB_Produtos[Categoria],"")</f>
        <v>Vestuário</v>
      </c>
      <c r="F64" s="1">
        <v>10</v>
      </c>
      <c r="G64" s="29">
        <f>VLOOKUP(TB_Vendas[[#This Row],[Código]],Produtos!$B$6:$G$66,6,0)</f>
        <v>25.9</v>
      </c>
      <c r="H64" s="125">
        <f>_xlfn.XMATCH(TB_Vendas[[#This Row],[Categoria]],Desc_Categorias,0)</f>
        <v>3</v>
      </c>
      <c r="I64" s="125" cm="1">
        <f t="array" ref="I6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0.3</v>
      </c>
      <c r="J64" s="70">
        <f>VLOOKUP(TB_Vendas[[#This Row],[Qtd]],Desc_TabelaToda,TB_Vendas[[#This Row],[Indice]],TRUE)</f>
        <v>0.3</v>
      </c>
      <c r="K64" s="70" cm="1">
        <f t="array" ref="K64">INDEX(Desc_TabelaToda,MATCH(TB_Vendas[[#This Row],[Qtd]],Desc_Quantidades,1),MATCH(_xlfn.XLOOKUP(TB_Vendas[[#This Row],[Código]],TB_Produtos[[#All],[Código]],TB_Produtos[[#All],[Categoria]]),Desc_Categorias,0))</f>
        <v>0.3</v>
      </c>
      <c r="L64" s="70">
        <f>_xlfn.XLOOKUP(TB_Vendas[[#This Row],[Vendedor]],Vendedores!$A$5:$A$9,Vendedores!$D$6:$D$10)</f>
        <v>0.25</v>
      </c>
      <c r="M64" s="70">
        <f>IF(TB_Vendas[[#This Row],[Desconto (Diretão)]]&gt;TB_Vendas[[#This Row],[Desconto do Vendedor]],TB_Vendas[[#This Row],[Desconto do Vendedor]],TB_Vendas[[#This Row],[Desconto (Diretão)]])</f>
        <v>0.25</v>
      </c>
      <c r="N64" s="8">
        <f>TB_Vendas[[#This Row],[Preço Unitário]]*TB_Vendas[[#This Row],[Qtd]]</f>
        <v>259</v>
      </c>
      <c r="O64" s="1" t="s">
        <v>126</v>
      </c>
    </row>
    <row r="65" spans="1:15">
      <c r="A65" s="1">
        <f>MONTH(TB_Vendas[[#This Row],[Data]])</f>
        <v>7</v>
      </c>
      <c r="B65" s="10" t="str">
        <f>PROPER(TEXT(DATE(,TB_Vendas[[#This Row],[Nº]],1),"Mmm"))</f>
        <v>Jul</v>
      </c>
      <c r="C65" s="9">
        <v>45112</v>
      </c>
      <c r="D65" s="10" t="s">
        <v>101</v>
      </c>
      <c r="E65" s="10" t="str">
        <f>_xlfn.XLOOKUP(TB_Vendas[[#This Row],[Código]],TB_Produtos[Código],TB_Produtos[Categoria],"")</f>
        <v>Vestuário</v>
      </c>
      <c r="F65" s="1">
        <v>1</v>
      </c>
      <c r="G65" s="29">
        <f>VLOOKUP(TB_Vendas[[#This Row],[Código]],Produtos!$B$6:$G$66,6,0)</f>
        <v>72.5</v>
      </c>
      <c r="H65" s="125">
        <f>_xlfn.XMATCH(TB_Vendas[[#This Row],[Categoria]],Desc_Categorias,0)</f>
        <v>3</v>
      </c>
      <c r="I65" s="125" cm="1">
        <f t="array" ref="I6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65" s="70">
        <f>VLOOKUP(TB_Vendas[[#This Row],[Qtd]],Desc_TabelaToda,TB_Vendas[[#This Row],[Indice]],TRUE)</f>
        <v>0.1</v>
      </c>
      <c r="K65" s="70" cm="1">
        <f t="array" ref="K65">INDEX(Desc_TabelaToda,MATCH(TB_Vendas[[#This Row],[Qtd]],Desc_Quantidades,1),MATCH(_xlfn.XLOOKUP(TB_Vendas[[#This Row],[Código]],TB_Produtos[[#All],[Código]],TB_Produtos[[#All],[Categoria]]),Desc_Categorias,0))</f>
        <v>0.1</v>
      </c>
      <c r="L65" s="70">
        <f>_xlfn.XLOOKUP(TB_Vendas[[#This Row],[Vendedor]],Vendedores!$A$5:$A$9,Vendedores!$D$6:$D$10)</f>
        <v>0.1</v>
      </c>
      <c r="M65" s="70">
        <f>IF(TB_Vendas[[#This Row],[Desconto (Diretão)]]&gt;TB_Vendas[[#This Row],[Desconto do Vendedor]],TB_Vendas[[#This Row],[Desconto do Vendedor]],TB_Vendas[[#This Row],[Desconto (Diretão)]])</f>
        <v>0.1</v>
      </c>
      <c r="N65" s="8">
        <f>TB_Vendas[[#This Row],[Preço Unitário]]*TB_Vendas[[#This Row],[Qtd]]</f>
        <v>72.5</v>
      </c>
      <c r="O65" s="1" t="s">
        <v>127</v>
      </c>
    </row>
    <row r="66" spans="1:15">
      <c r="A66" s="1">
        <f>MONTH(TB_Vendas[[#This Row],[Data]])</f>
        <v>7</v>
      </c>
      <c r="B66" s="10" t="str">
        <f>PROPER(TEXT(DATE(,TB_Vendas[[#This Row],[Nº]],1),"Mmm"))</f>
        <v>Jul</v>
      </c>
      <c r="C66" s="9">
        <v>45113</v>
      </c>
      <c r="D66" s="10" t="s">
        <v>52</v>
      </c>
      <c r="E66" s="10" t="str">
        <f>_xlfn.XLOOKUP(TB_Vendas[[#This Row],[Código]],TB_Produtos[Código],TB_Produtos[Categoria],"")</f>
        <v>Vestuário</v>
      </c>
      <c r="F66" s="1">
        <v>4</v>
      </c>
      <c r="G66" s="29">
        <f>VLOOKUP(TB_Vendas[[#This Row],[Código]],Produtos!$B$6:$G$66,6,0)</f>
        <v>302.89999999999998</v>
      </c>
      <c r="H66" s="125">
        <f>_xlfn.XMATCH(TB_Vendas[[#This Row],[Categoria]],Desc_Categorias,0)</f>
        <v>3</v>
      </c>
      <c r="I66" s="125" cm="1">
        <f t="array" ref="I6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66" s="70">
        <f>VLOOKUP(TB_Vendas[[#This Row],[Qtd]],Desc_TabelaToda,TB_Vendas[[#This Row],[Indice]],TRUE)</f>
        <v>0.2</v>
      </c>
      <c r="K66" s="70" cm="1">
        <f t="array" ref="K66">INDEX(Desc_TabelaToda,MATCH(TB_Vendas[[#This Row],[Qtd]],Desc_Quantidades,1),MATCH(_xlfn.XLOOKUP(TB_Vendas[[#This Row],[Código]],TB_Produtos[[#All],[Código]],TB_Produtos[[#All],[Categoria]]),Desc_Categorias,0))</f>
        <v>0.2</v>
      </c>
      <c r="L66" s="70">
        <f>_xlfn.XLOOKUP(TB_Vendas[[#This Row],[Vendedor]],Vendedores!$A$5:$A$9,Vendedores!$D$6:$D$10)</f>
        <v>0</v>
      </c>
      <c r="M66" s="70">
        <f>IF(TB_Vendas[[#This Row],[Desconto (Diretão)]]&gt;TB_Vendas[[#This Row],[Desconto do Vendedor]],TB_Vendas[[#This Row],[Desconto do Vendedor]],TB_Vendas[[#This Row],[Desconto (Diretão)]])</f>
        <v>0</v>
      </c>
      <c r="N66" s="8">
        <f>TB_Vendas[[#This Row],[Preço Unitário]]*TB_Vendas[[#This Row],[Qtd]]</f>
        <v>1211.5999999999999</v>
      </c>
      <c r="O66" s="1" t="s">
        <v>130</v>
      </c>
    </row>
    <row r="67" spans="1:15">
      <c r="A67" s="1">
        <f>MONTH(TB_Vendas[[#This Row],[Data]])</f>
        <v>7</v>
      </c>
      <c r="B67" s="10" t="str">
        <f>PROPER(TEXT(DATE(,TB_Vendas[[#This Row],[Nº]],1),"Mmm"))</f>
        <v>Jul</v>
      </c>
      <c r="C67" s="9">
        <v>45114</v>
      </c>
      <c r="D67" s="10" t="s">
        <v>106</v>
      </c>
      <c r="E67" s="10" t="str">
        <f>_xlfn.XLOOKUP(TB_Vendas[[#This Row],[Código]],TB_Produtos[Código],TB_Produtos[Categoria],"")</f>
        <v>Vestuário</v>
      </c>
      <c r="F67" s="1">
        <v>8</v>
      </c>
      <c r="G67" s="29">
        <f>VLOOKUP(TB_Vendas[[#This Row],[Código]],Produtos!$B$6:$G$66,6,0)</f>
        <v>289.89999999999998</v>
      </c>
      <c r="H67" s="125">
        <f>_xlfn.XMATCH(TB_Vendas[[#This Row],[Categoria]],Desc_Categorias,0)</f>
        <v>3</v>
      </c>
      <c r="I67" s="125" cm="1">
        <f t="array" ref="I6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67" s="70">
        <f>VLOOKUP(TB_Vendas[[#This Row],[Qtd]],Desc_TabelaToda,TB_Vendas[[#This Row],[Indice]],TRUE)</f>
        <v>0.25</v>
      </c>
      <c r="K67" s="70" cm="1">
        <f t="array" ref="K67">INDEX(Desc_TabelaToda,MATCH(TB_Vendas[[#This Row],[Qtd]],Desc_Quantidades,1),MATCH(_xlfn.XLOOKUP(TB_Vendas[[#This Row],[Código]],TB_Produtos[[#All],[Código]],TB_Produtos[[#All],[Categoria]]),Desc_Categorias,0))</f>
        <v>0.25</v>
      </c>
      <c r="L67" s="70">
        <f>_xlfn.XLOOKUP(TB_Vendas[[#This Row],[Vendedor]],Vendedores!$A$5:$A$9,Vendedores!$D$6:$D$10)</f>
        <v>0.25</v>
      </c>
      <c r="M67" s="70">
        <f>IF(TB_Vendas[[#This Row],[Desconto (Diretão)]]&gt;TB_Vendas[[#This Row],[Desconto do Vendedor]],TB_Vendas[[#This Row],[Desconto do Vendedor]],TB_Vendas[[#This Row],[Desconto (Diretão)]])</f>
        <v>0.25</v>
      </c>
      <c r="N67" s="8">
        <f>TB_Vendas[[#This Row],[Preço Unitário]]*TB_Vendas[[#This Row],[Qtd]]</f>
        <v>2319.1999999999998</v>
      </c>
      <c r="O67" s="1" t="s">
        <v>126</v>
      </c>
    </row>
    <row r="68" spans="1:15">
      <c r="A68" s="1">
        <f>MONTH(TB_Vendas[[#This Row],[Data]])</f>
        <v>7</v>
      </c>
      <c r="B68" s="10" t="str">
        <f>PROPER(TEXT(DATE(,TB_Vendas[[#This Row],[Nº]],1),"Mmm"))</f>
        <v>Jul</v>
      </c>
      <c r="C68" s="9">
        <v>45119</v>
      </c>
      <c r="D68" s="10" t="s">
        <v>97</v>
      </c>
      <c r="E68" s="10" t="str">
        <f>_xlfn.XLOOKUP(TB_Vendas[[#This Row],[Código]],TB_Produtos[Código],TB_Produtos[Categoria],"")</f>
        <v>Vestuário</v>
      </c>
      <c r="F68" s="1">
        <v>2</v>
      </c>
      <c r="G68" s="29">
        <f>VLOOKUP(TB_Vendas[[#This Row],[Código]],Produtos!$B$6:$G$66,6,0)</f>
        <v>54.9</v>
      </c>
      <c r="H68" s="125">
        <f>_xlfn.XMATCH(TB_Vendas[[#This Row],[Categoria]],Desc_Categorias,0)</f>
        <v>3</v>
      </c>
      <c r="I68" s="125" cm="1">
        <f t="array" ref="I6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68" s="70">
        <f>VLOOKUP(TB_Vendas[[#This Row],[Qtd]],Desc_TabelaToda,TB_Vendas[[#This Row],[Indice]],TRUE)</f>
        <v>0.15</v>
      </c>
      <c r="K68" s="70" cm="1">
        <f t="array" ref="K68">INDEX(Desc_TabelaToda,MATCH(TB_Vendas[[#This Row],[Qtd]],Desc_Quantidades,1),MATCH(_xlfn.XLOOKUP(TB_Vendas[[#This Row],[Código]],TB_Produtos[[#All],[Código]],TB_Produtos[[#All],[Categoria]]),Desc_Categorias,0))</f>
        <v>0.15</v>
      </c>
      <c r="L68" s="70">
        <f>_xlfn.XLOOKUP(TB_Vendas[[#This Row],[Vendedor]],Vendedores!$A$5:$A$9,Vendedores!$D$6:$D$10)</f>
        <v>0.25</v>
      </c>
      <c r="M68" s="70">
        <f>IF(TB_Vendas[[#This Row],[Desconto (Diretão)]]&gt;TB_Vendas[[#This Row],[Desconto do Vendedor]],TB_Vendas[[#This Row],[Desconto do Vendedor]],TB_Vendas[[#This Row],[Desconto (Diretão)]])</f>
        <v>0.15</v>
      </c>
      <c r="N68" s="8">
        <f>TB_Vendas[[#This Row],[Preço Unitário]]*TB_Vendas[[#This Row],[Qtd]]</f>
        <v>109.8</v>
      </c>
      <c r="O68" s="1" t="s">
        <v>126</v>
      </c>
    </row>
    <row r="69" spans="1:15">
      <c r="A69" s="1">
        <f>MONTH(TB_Vendas[[#This Row],[Data]])</f>
        <v>7</v>
      </c>
      <c r="B69" s="10" t="str">
        <f>PROPER(TEXT(DATE(,TB_Vendas[[#This Row],[Nº]],1),"Mmm"))</f>
        <v>Jul</v>
      </c>
      <c r="C69" s="9">
        <v>45120</v>
      </c>
      <c r="D69" s="10" t="s">
        <v>45</v>
      </c>
      <c r="E69" s="10" t="str">
        <f>_xlfn.XLOOKUP(TB_Vendas[[#This Row],[Código]],TB_Produtos[Código],TB_Produtos[Categoria],"")</f>
        <v>Vestuário</v>
      </c>
      <c r="F69" s="1">
        <v>2</v>
      </c>
      <c r="G69" s="29">
        <f>VLOOKUP(TB_Vendas[[#This Row],[Código]],Produtos!$B$6:$G$66,6,0)</f>
        <v>39.9</v>
      </c>
      <c r="H69" s="125">
        <f>_xlfn.XMATCH(TB_Vendas[[#This Row],[Categoria]],Desc_Categorias,0)</f>
        <v>3</v>
      </c>
      <c r="I69" s="125" cm="1">
        <f t="array" ref="I6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69" s="70">
        <f>VLOOKUP(TB_Vendas[[#This Row],[Qtd]],Desc_TabelaToda,TB_Vendas[[#This Row],[Indice]],TRUE)</f>
        <v>0.15</v>
      </c>
      <c r="K69" s="70" cm="1">
        <f t="array" ref="K69">INDEX(Desc_TabelaToda,MATCH(TB_Vendas[[#This Row],[Qtd]],Desc_Quantidades,1),MATCH(_xlfn.XLOOKUP(TB_Vendas[[#This Row],[Código]],TB_Produtos[[#All],[Código]],TB_Produtos[[#All],[Categoria]]),Desc_Categorias,0))</f>
        <v>0.15</v>
      </c>
      <c r="L69" s="70">
        <f>_xlfn.XLOOKUP(TB_Vendas[[#This Row],[Vendedor]],Vendedores!$A$5:$A$9,Vendedores!$D$6:$D$10)</f>
        <v>0</v>
      </c>
      <c r="M69" s="70">
        <f>IF(TB_Vendas[[#This Row],[Desconto (Diretão)]]&gt;TB_Vendas[[#This Row],[Desconto do Vendedor]],TB_Vendas[[#This Row],[Desconto do Vendedor]],TB_Vendas[[#This Row],[Desconto (Diretão)]])</f>
        <v>0</v>
      </c>
      <c r="N69" s="8">
        <f>TB_Vendas[[#This Row],[Preço Unitário]]*TB_Vendas[[#This Row],[Qtd]]</f>
        <v>79.8</v>
      </c>
      <c r="O69" s="1" t="s">
        <v>130</v>
      </c>
    </row>
    <row r="70" spans="1:15">
      <c r="A70" s="1">
        <f>MONTH(TB_Vendas[[#This Row],[Data]])</f>
        <v>7</v>
      </c>
      <c r="B70" s="10" t="str">
        <f>PROPER(TEXT(DATE(,TB_Vendas[[#This Row],[Nº]],1),"Mmm"))</f>
        <v>Jul</v>
      </c>
      <c r="C70" s="9">
        <v>45124</v>
      </c>
      <c r="D70" s="10" t="s">
        <v>98</v>
      </c>
      <c r="E70" s="10" t="str">
        <f>_xlfn.XLOOKUP(TB_Vendas[[#This Row],[Código]],TB_Produtos[Código],TB_Produtos[Categoria],"")</f>
        <v>Vestuário</v>
      </c>
      <c r="F70" s="1">
        <v>7</v>
      </c>
      <c r="G70" s="29">
        <f>VLOOKUP(TB_Vendas[[#This Row],[Código]],Produtos!$B$6:$G$66,6,0)</f>
        <v>54.9</v>
      </c>
      <c r="H70" s="125">
        <f>_xlfn.XMATCH(TB_Vendas[[#This Row],[Categoria]],Desc_Categorias,0)</f>
        <v>3</v>
      </c>
      <c r="I70" s="125" cm="1">
        <f t="array" ref="I7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70" s="70">
        <f>VLOOKUP(TB_Vendas[[#This Row],[Qtd]],Desc_TabelaToda,TB_Vendas[[#This Row],[Indice]],TRUE)</f>
        <v>0.25</v>
      </c>
      <c r="K70" s="70" cm="1">
        <f t="array" ref="K70">INDEX(Desc_TabelaToda,MATCH(TB_Vendas[[#This Row],[Qtd]],Desc_Quantidades,1),MATCH(_xlfn.XLOOKUP(TB_Vendas[[#This Row],[Código]],TB_Produtos[[#All],[Código]],TB_Produtos[[#All],[Categoria]]),Desc_Categorias,0))</f>
        <v>0.25</v>
      </c>
      <c r="L70" s="70">
        <f>_xlfn.XLOOKUP(TB_Vendas[[#This Row],[Vendedor]],Vendedores!$A$5:$A$9,Vendedores!$D$6:$D$10)</f>
        <v>0.15</v>
      </c>
      <c r="M70" s="70">
        <f>IF(TB_Vendas[[#This Row],[Desconto (Diretão)]]&gt;TB_Vendas[[#This Row],[Desconto do Vendedor]],TB_Vendas[[#This Row],[Desconto do Vendedor]],TB_Vendas[[#This Row],[Desconto (Diretão)]])</f>
        <v>0.15</v>
      </c>
      <c r="N70" s="8">
        <f>TB_Vendas[[#This Row],[Preço Unitário]]*TB_Vendas[[#This Row],[Qtd]]</f>
        <v>384.3</v>
      </c>
      <c r="O70" s="1" t="s">
        <v>129</v>
      </c>
    </row>
    <row r="71" spans="1:15">
      <c r="A71" s="1">
        <f>MONTH(TB_Vendas[[#This Row],[Data]])</f>
        <v>7</v>
      </c>
      <c r="B71" s="10" t="str">
        <f>PROPER(TEXT(DATE(,TB_Vendas[[#This Row],[Nº]],1),"Mmm"))</f>
        <v>Jul</v>
      </c>
      <c r="C71" s="9">
        <v>45130</v>
      </c>
      <c r="D71" s="10" t="s">
        <v>51</v>
      </c>
      <c r="E71" s="10" t="str">
        <f>_xlfn.XLOOKUP(TB_Vendas[[#This Row],[Código]],TB_Produtos[Código],TB_Produtos[Categoria],"")</f>
        <v>Vestuário</v>
      </c>
      <c r="F71" s="1">
        <v>4</v>
      </c>
      <c r="G71" s="29">
        <f>VLOOKUP(TB_Vendas[[#This Row],[Código]],Produtos!$B$6:$G$66,6,0)</f>
        <v>299.89999999999998</v>
      </c>
      <c r="H71" s="125">
        <f>_xlfn.XMATCH(TB_Vendas[[#This Row],[Categoria]],Desc_Categorias,0)</f>
        <v>3</v>
      </c>
      <c r="I71" s="125" cm="1">
        <f t="array" ref="I7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71" s="70">
        <f>VLOOKUP(TB_Vendas[[#This Row],[Qtd]],Desc_TabelaToda,TB_Vendas[[#This Row],[Indice]],TRUE)</f>
        <v>0.2</v>
      </c>
      <c r="K71" s="70" cm="1">
        <f t="array" ref="K71">INDEX(Desc_TabelaToda,MATCH(TB_Vendas[[#This Row],[Qtd]],Desc_Quantidades,1),MATCH(_xlfn.XLOOKUP(TB_Vendas[[#This Row],[Código]],TB_Produtos[[#All],[Código]],TB_Produtos[[#All],[Categoria]]),Desc_Categorias,0))</f>
        <v>0.2</v>
      </c>
      <c r="L71" s="70">
        <f>_xlfn.XLOOKUP(TB_Vendas[[#This Row],[Vendedor]],Vendedores!$A$5:$A$9,Vendedores!$D$6:$D$10)</f>
        <v>0</v>
      </c>
      <c r="M71" s="70">
        <f>IF(TB_Vendas[[#This Row],[Desconto (Diretão)]]&gt;TB_Vendas[[#This Row],[Desconto do Vendedor]],TB_Vendas[[#This Row],[Desconto do Vendedor]],TB_Vendas[[#This Row],[Desconto (Diretão)]])</f>
        <v>0</v>
      </c>
      <c r="N71" s="8">
        <f>TB_Vendas[[#This Row],[Preço Unitário]]*TB_Vendas[[#This Row],[Qtd]]</f>
        <v>1199.5999999999999</v>
      </c>
      <c r="O71" s="1" t="s">
        <v>130</v>
      </c>
    </row>
    <row r="72" spans="1:15">
      <c r="A72" s="1">
        <f>MONTH(TB_Vendas[[#This Row],[Data]])</f>
        <v>7</v>
      </c>
      <c r="B72" s="10" t="str">
        <f>PROPER(TEXT(DATE(,TB_Vendas[[#This Row],[Nº]],1),"Mmm"))</f>
        <v>Jul</v>
      </c>
      <c r="C72" s="9">
        <v>45133</v>
      </c>
      <c r="D72" s="10" t="s">
        <v>55</v>
      </c>
      <c r="E72" s="10" t="str">
        <f>_xlfn.XLOOKUP(TB_Vendas[[#This Row],[Código]],TB_Produtos[Código],TB_Produtos[Categoria],"")</f>
        <v>Vestuário</v>
      </c>
      <c r="F72" s="1">
        <v>3</v>
      </c>
      <c r="G72" s="29">
        <f>VLOOKUP(TB_Vendas[[#This Row],[Código]],Produtos!$B$6:$G$66,6,0)</f>
        <v>259.89999999999998</v>
      </c>
      <c r="H72" s="125">
        <f>_xlfn.XMATCH(TB_Vendas[[#This Row],[Categoria]],Desc_Categorias,0)</f>
        <v>3</v>
      </c>
      <c r="I72" s="125" cm="1">
        <f t="array" ref="I7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72" s="70">
        <f>VLOOKUP(TB_Vendas[[#This Row],[Qtd]],Desc_TabelaToda,TB_Vendas[[#This Row],[Indice]],TRUE)</f>
        <v>0.2</v>
      </c>
      <c r="K72" s="70" cm="1">
        <f t="array" ref="K72">INDEX(Desc_TabelaToda,MATCH(TB_Vendas[[#This Row],[Qtd]],Desc_Quantidades,1),MATCH(_xlfn.XLOOKUP(TB_Vendas[[#This Row],[Código]],TB_Produtos[[#All],[Código]],TB_Produtos[[#All],[Categoria]]),Desc_Categorias,0))</f>
        <v>0.2</v>
      </c>
      <c r="L72" s="70">
        <f>_xlfn.XLOOKUP(TB_Vendas[[#This Row],[Vendedor]],Vendedores!$A$5:$A$9,Vendedores!$D$6:$D$10)</f>
        <v>0.15</v>
      </c>
      <c r="M72" s="70">
        <f>IF(TB_Vendas[[#This Row],[Desconto (Diretão)]]&gt;TB_Vendas[[#This Row],[Desconto do Vendedor]],TB_Vendas[[#This Row],[Desconto do Vendedor]],TB_Vendas[[#This Row],[Desconto (Diretão)]])</f>
        <v>0.15</v>
      </c>
      <c r="N72" s="8">
        <f>TB_Vendas[[#This Row],[Preço Unitário]]*TB_Vendas[[#This Row],[Qtd]]</f>
        <v>779.69999999999993</v>
      </c>
      <c r="O72" s="1" t="s">
        <v>129</v>
      </c>
    </row>
    <row r="73" spans="1:15">
      <c r="A73" s="1">
        <f>MONTH(TB_Vendas[[#This Row],[Data]])</f>
        <v>7</v>
      </c>
      <c r="B73" s="10" t="str">
        <f>PROPER(TEXT(DATE(,TB_Vendas[[#This Row],[Nº]],1),"Mmm"))</f>
        <v>Jul</v>
      </c>
      <c r="C73" s="9">
        <v>45135</v>
      </c>
      <c r="D73" s="10" t="s">
        <v>101</v>
      </c>
      <c r="E73" s="10" t="str">
        <f>_xlfn.XLOOKUP(TB_Vendas[[#This Row],[Código]],TB_Produtos[Código],TB_Produtos[Categoria],"")</f>
        <v>Vestuário</v>
      </c>
      <c r="F73" s="1">
        <v>9</v>
      </c>
      <c r="G73" s="29">
        <f>VLOOKUP(TB_Vendas[[#This Row],[Código]],Produtos!$B$6:$G$66,6,0)</f>
        <v>72.5</v>
      </c>
      <c r="H73" s="125">
        <f>_xlfn.XMATCH(TB_Vendas[[#This Row],[Categoria]],Desc_Categorias,0)</f>
        <v>3</v>
      </c>
      <c r="I73" s="125" cm="1">
        <f t="array" ref="I7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73" s="70">
        <f>VLOOKUP(TB_Vendas[[#This Row],[Qtd]],Desc_TabelaToda,TB_Vendas[[#This Row],[Indice]],TRUE)</f>
        <v>0.25</v>
      </c>
      <c r="K73" s="70" cm="1">
        <f t="array" ref="K73">INDEX(Desc_TabelaToda,MATCH(TB_Vendas[[#This Row],[Qtd]],Desc_Quantidades,1),MATCH(_xlfn.XLOOKUP(TB_Vendas[[#This Row],[Código]],TB_Produtos[[#All],[Código]],TB_Produtos[[#All],[Categoria]]),Desc_Categorias,0))</f>
        <v>0.25</v>
      </c>
      <c r="L73" s="70">
        <f>_xlfn.XLOOKUP(TB_Vendas[[#This Row],[Vendedor]],Vendedores!$A$5:$A$9,Vendedores!$D$6:$D$10)</f>
        <v>0.2</v>
      </c>
      <c r="M73" s="70">
        <f>IF(TB_Vendas[[#This Row],[Desconto (Diretão)]]&gt;TB_Vendas[[#This Row],[Desconto do Vendedor]],TB_Vendas[[#This Row],[Desconto do Vendedor]],TB_Vendas[[#This Row],[Desconto (Diretão)]])</f>
        <v>0.2</v>
      </c>
      <c r="N73" s="8">
        <f>TB_Vendas[[#This Row],[Preço Unitário]]*TB_Vendas[[#This Row],[Qtd]]</f>
        <v>652.5</v>
      </c>
      <c r="O73" s="1" t="s">
        <v>128</v>
      </c>
    </row>
    <row r="74" spans="1:15">
      <c r="A74" s="1">
        <f>MONTH(TB_Vendas[[#This Row],[Data]])</f>
        <v>7</v>
      </c>
      <c r="B74" s="10" t="str">
        <f>PROPER(TEXT(DATE(,TB_Vendas[[#This Row],[Nº]],1),"Mmm"))</f>
        <v>Jul</v>
      </c>
      <c r="C74" s="9">
        <v>45136</v>
      </c>
      <c r="D74" s="10" t="s">
        <v>53</v>
      </c>
      <c r="E74" s="10" t="str">
        <f>_xlfn.XLOOKUP(TB_Vendas[[#This Row],[Código]],TB_Produtos[Código],TB_Produtos[Categoria],"")</f>
        <v>Vestuário</v>
      </c>
      <c r="F74" s="1">
        <v>4</v>
      </c>
      <c r="G74" s="29">
        <f>VLOOKUP(TB_Vendas[[#This Row],[Código]],Produtos!$B$6:$G$66,6,0)</f>
        <v>300</v>
      </c>
      <c r="H74" s="125">
        <f>_xlfn.XMATCH(TB_Vendas[[#This Row],[Categoria]],Desc_Categorias,0)</f>
        <v>3</v>
      </c>
      <c r="I74" s="125" cm="1">
        <f t="array" ref="I7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</v>
      </c>
      <c r="J74" s="70">
        <f>VLOOKUP(TB_Vendas[[#This Row],[Qtd]],Desc_TabelaToda,TB_Vendas[[#This Row],[Indice]],TRUE)</f>
        <v>0.2</v>
      </c>
      <c r="K74" s="70" cm="1">
        <f t="array" ref="K74">INDEX(Desc_TabelaToda,MATCH(TB_Vendas[[#This Row],[Qtd]],Desc_Quantidades,1),MATCH(_xlfn.XLOOKUP(TB_Vendas[[#This Row],[Código]],TB_Produtos[[#All],[Código]],TB_Produtos[[#All],[Categoria]]),Desc_Categorias,0))</f>
        <v>0.2</v>
      </c>
      <c r="L74" s="70">
        <f>_xlfn.XLOOKUP(TB_Vendas[[#This Row],[Vendedor]],Vendedores!$A$5:$A$9,Vendedores!$D$6:$D$10)</f>
        <v>0</v>
      </c>
      <c r="M74" s="70">
        <f>IF(TB_Vendas[[#This Row],[Desconto (Diretão)]]&gt;TB_Vendas[[#This Row],[Desconto do Vendedor]],TB_Vendas[[#This Row],[Desconto do Vendedor]],TB_Vendas[[#This Row],[Desconto (Diretão)]])</f>
        <v>0</v>
      </c>
      <c r="N74" s="8">
        <f>TB_Vendas[[#This Row],[Preço Unitário]]*TB_Vendas[[#This Row],[Qtd]]</f>
        <v>1200</v>
      </c>
      <c r="O74" s="1" t="s">
        <v>130</v>
      </c>
    </row>
    <row r="75" spans="1:15">
      <c r="A75" s="1">
        <f>MONTH(TB_Vendas[[#This Row],[Data]])</f>
        <v>7</v>
      </c>
      <c r="B75" s="10" t="str">
        <f>PROPER(TEXT(DATE(,TB_Vendas[[#This Row],[Nº]],1),"Mmm"))</f>
        <v>Jul</v>
      </c>
      <c r="C75" s="9">
        <v>45137</v>
      </c>
      <c r="D75" s="10" t="s">
        <v>32</v>
      </c>
      <c r="E75" s="10" t="str">
        <f>_xlfn.XLOOKUP(TB_Vendas[[#This Row],[Código]],TB_Produtos[Código],TB_Produtos[Categoria],"")</f>
        <v>Vestuário</v>
      </c>
      <c r="F75" s="1">
        <v>9</v>
      </c>
      <c r="G75" s="29">
        <f>VLOOKUP(TB_Vendas[[#This Row],[Código]],Produtos!$B$6:$G$66,6,0)</f>
        <v>65.900000000000006</v>
      </c>
      <c r="H75" s="125">
        <f>_xlfn.XMATCH(TB_Vendas[[#This Row],[Categoria]],Desc_Categorias,0)</f>
        <v>3</v>
      </c>
      <c r="I75" s="125" cm="1">
        <f t="array" ref="I7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75" s="70">
        <f>VLOOKUP(TB_Vendas[[#This Row],[Qtd]],Desc_TabelaToda,TB_Vendas[[#This Row],[Indice]],TRUE)</f>
        <v>0.25</v>
      </c>
      <c r="K75" s="70" cm="1">
        <f t="array" ref="K75">INDEX(Desc_TabelaToda,MATCH(TB_Vendas[[#This Row],[Qtd]],Desc_Quantidades,1),MATCH(_xlfn.XLOOKUP(TB_Vendas[[#This Row],[Código]],TB_Produtos[[#All],[Código]],TB_Produtos[[#All],[Categoria]]),Desc_Categorias,0))</f>
        <v>0.25</v>
      </c>
      <c r="L75" s="70">
        <f>_xlfn.XLOOKUP(TB_Vendas[[#This Row],[Vendedor]],Vendedores!$A$5:$A$9,Vendedores!$D$6:$D$10)</f>
        <v>0</v>
      </c>
      <c r="M75" s="70">
        <f>IF(TB_Vendas[[#This Row],[Desconto (Diretão)]]&gt;TB_Vendas[[#This Row],[Desconto do Vendedor]],TB_Vendas[[#This Row],[Desconto do Vendedor]],TB_Vendas[[#This Row],[Desconto (Diretão)]])</f>
        <v>0</v>
      </c>
      <c r="N75" s="8">
        <f>TB_Vendas[[#This Row],[Preço Unitário]]*TB_Vendas[[#This Row],[Qtd]]</f>
        <v>593.1</v>
      </c>
      <c r="O75" s="1" t="s">
        <v>130</v>
      </c>
    </row>
    <row r="76" spans="1:15">
      <c r="A76" s="1">
        <f>MONTH(TB_Vendas[[#This Row],[Data]])</f>
        <v>8</v>
      </c>
      <c r="B76" s="10" t="str">
        <f>PROPER(TEXT(DATE(,TB_Vendas[[#This Row],[Nº]],1),"Mmm"))</f>
        <v>Ago</v>
      </c>
      <c r="C76" s="9">
        <v>45143</v>
      </c>
      <c r="D76" s="10" t="s">
        <v>40</v>
      </c>
      <c r="E76" s="10" t="str">
        <f>_xlfn.XLOOKUP(TB_Vendas[[#This Row],[Código]],TB_Produtos[Código],TB_Produtos[Categoria],"")</f>
        <v>Vestuário</v>
      </c>
      <c r="F76" s="1">
        <v>10</v>
      </c>
      <c r="G76" s="29">
        <f>VLOOKUP(TB_Vendas[[#This Row],[Código]],Produtos!$B$6:$G$66,6,0)</f>
        <v>92.9</v>
      </c>
      <c r="H76" s="125">
        <f>_xlfn.XMATCH(TB_Vendas[[#This Row],[Categoria]],Desc_Categorias,0)</f>
        <v>3</v>
      </c>
      <c r="I76" s="125" cm="1">
        <f t="array" ref="I7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0.3</v>
      </c>
      <c r="J76" s="70">
        <f>VLOOKUP(TB_Vendas[[#This Row],[Qtd]],Desc_TabelaToda,TB_Vendas[[#This Row],[Indice]],TRUE)</f>
        <v>0.3</v>
      </c>
      <c r="K76" s="70" cm="1">
        <f t="array" ref="K76">INDEX(Desc_TabelaToda,MATCH(TB_Vendas[[#This Row],[Qtd]],Desc_Quantidades,1),MATCH(_xlfn.XLOOKUP(TB_Vendas[[#This Row],[Código]],TB_Produtos[[#All],[Código]],TB_Produtos[[#All],[Categoria]]),Desc_Categorias,0))</f>
        <v>0.3</v>
      </c>
      <c r="L76" s="70">
        <f>_xlfn.XLOOKUP(TB_Vendas[[#This Row],[Vendedor]],Vendedores!$A$5:$A$9,Vendedores!$D$6:$D$10)</f>
        <v>0</v>
      </c>
      <c r="M76" s="70">
        <f>IF(TB_Vendas[[#This Row],[Desconto (Diretão)]]&gt;TB_Vendas[[#This Row],[Desconto do Vendedor]],TB_Vendas[[#This Row],[Desconto do Vendedor]],TB_Vendas[[#This Row],[Desconto (Diretão)]])</f>
        <v>0</v>
      </c>
      <c r="N76" s="8">
        <f>TB_Vendas[[#This Row],[Preço Unitário]]*TB_Vendas[[#This Row],[Qtd]]</f>
        <v>929</v>
      </c>
      <c r="O76" s="1" t="s">
        <v>130</v>
      </c>
    </row>
    <row r="77" spans="1:15">
      <c r="A77" s="1">
        <f>MONTH(TB_Vendas[[#This Row],[Data]])</f>
        <v>8</v>
      </c>
      <c r="B77" s="10" t="str">
        <f>PROPER(TEXT(DATE(,TB_Vendas[[#This Row],[Nº]],1),"Mmm"))</f>
        <v>Ago</v>
      </c>
      <c r="C77" s="9">
        <v>45144</v>
      </c>
      <c r="D77" s="10" t="s">
        <v>118</v>
      </c>
      <c r="E77" s="10" t="str">
        <f>_xlfn.XLOOKUP(TB_Vendas[[#This Row],[Código]],TB_Produtos[Código],TB_Produtos[Categoria],"")</f>
        <v>Calçado</v>
      </c>
      <c r="F77" s="1">
        <v>1</v>
      </c>
      <c r="G77" s="29">
        <f>VLOOKUP(TB_Vendas[[#This Row],[Código]],Produtos!$B$6:$G$66,6,0)</f>
        <v>89.9</v>
      </c>
      <c r="H77" s="125">
        <f>_xlfn.XMATCH(TB_Vendas[[#This Row],[Categoria]],Desc_Categorias,0)</f>
        <v>4</v>
      </c>
      <c r="I77" s="125" cm="1">
        <f t="array" ref="I77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</v>
      </c>
      <c r="J77" s="70">
        <f>VLOOKUP(TB_Vendas[[#This Row],[Qtd]],Desc_TabelaToda,TB_Vendas[[#This Row],[Indice]],TRUE)</f>
        <v>0</v>
      </c>
      <c r="K77" s="70" cm="1">
        <f t="array" ref="K77">INDEX(Desc_TabelaToda,MATCH(TB_Vendas[[#This Row],[Qtd]],Desc_Quantidades,1),MATCH(_xlfn.XLOOKUP(TB_Vendas[[#This Row],[Código]],TB_Produtos[[#All],[Código]],TB_Produtos[[#All],[Categoria]]),Desc_Categorias,0))</f>
        <v>0</v>
      </c>
      <c r="L77" s="70">
        <f>_xlfn.XLOOKUP(TB_Vendas[[#This Row],[Vendedor]],Vendedores!$A$5:$A$9,Vendedores!$D$6:$D$10)</f>
        <v>0.2</v>
      </c>
      <c r="M77" s="70">
        <f>IF(TB_Vendas[[#This Row],[Desconto (Diretão)]]&gt;TB_Vendas[[#This Row],[Desconto do Vendedor]],TB_Vendas[[#This Row],[Desconto do Vendedor]],TB_Vendas[[#This Row],[Desconto (Diretão)]])</f>
        <v>0</v>
      </c>
      <c r="N77" s="8">
        <f>TB_Vendas[[#This Row],[Preço Unitário]]*TB_Vendas[[#This Row],[Qtd]]</f>
        <v>89.9</v>
      </c>
      <c r="O77" s="1" t="s">
        <v>128</v>
      </c>
    </row>
    <row r="78" spans="1:15">
      <c r="A78" s="1">
        <f>MONTH(TB_Vendas[[#This Row],[Data]])</f>
        <v>8</v>
      </c>
      <c r="B78" s="10" t="str">
        <f>PROPER(TEXT(DATE(,TB_Vendas[[#This Row],[Nº]],1),"Mmm"))</f>
        <v>Ago</v>
      </c>
      <c r="C78" s="9">
        <v>45145</v>
      </c>
      <c r="D78" s="10" t="s">
        <v>111</v>
      </c>
      <c r="E78" s="10" t="str">
        <f>_xlfn.XLOOKUP(TB_Vendas[[#This Row],[Código]],TB_Produtos[Código],TB_Produtos[Categoria],"")</f>
        <v>Vestuário</v>
      </c>
      <c r="F78" s="1">
        <v>2</v>
      </c>
      <c r="G78" s="29">
        <f>VLOOKUP(TB_Vendas[[#This Row],[Código]],Produtos!$B$6:$G$66,6,0)</f>
        <v>49.9</v>
      </c>
      <c r="H78" s="125">
        <f>_xlfn.XMATCH(TB_Vendas[[#This Row],[Categoria]],Desc_Categorias,0)</f>
        <v>3</v>
      </c>
      <c r="I78" s="125" cm="1">
        <f t="array" ref="I78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78" s="70">
        <f>VLOOKUP(TB_Vendas[[#This Row],[Qtd]],Desc_TabelaToda,TB_Vendas[[#This Row],[Indice]],TRUE)</f>
        <v>0.15</v>
      </c>
      <c r="K78" s="70" cm="1">
        <f t="array" ref="K78">INDEX(Desc_TabelaToda,MATCH(TB_Vendas[[#This Row],[Qtd]],Desc_Quantidades,1),MATCH(_xlfn.XLOOKUP(TB_Vendas[[#This Row],[Código]],TB_Produtos[[#All],[Código]],TB_Produtos[[#All],[Categoria]]),Desc_Categorias,0))</f>
        <v>0.15</v>
      </c>
      <c r="L78" s="70">
        <f>_xlfn.XLOOKUP(TB_Vendas[[#This Row],[Vendedor]],Vendedores!$A$5:$A$9,Vendedores!$D$6:$D$10)</f>
        <v>0.2</v>
      </c>
      <c r="M78" s="70">
        <f>IF(TB_Vendas[[#This Row],[Desconto (Diretão)]]&gt;TB_Vendas[[#This Row],[Desconto do Vendedor]],TB_Vendas[[#This Row],[Desconto do Vendedor]],TB_Vendas[[#This Row],[Desconto (Diretão)]])</f>
        <v>0.15</v>
      </c>
      <c r="N78" s="8">
        <f>TB_Vendas[[#This Row],[Preço Unitário]]*TB_Vendas[[#This Row],[Qtd]]</f>
        <v>99.8</v>
      </c>
      <c r="O78" s="1" t="s">
        <v>128</v>
      </c>
    </row>
    <row r="79" spans="1:15">
      <c r="A79" s="1">
        <f>MONTH(TB_Vendas[[#This Row],[Data]])</f>
        <v>8</v>
      </c>
      <c r="B79" s="10" t="str">
        <f>PROPER(TEXT(DATE(,TB_Vendas[[#This Row],[Nº]],1),"Mmm"))</f>
        <v>Ago</v>
      </c>
      <c r="C79" s="9">
        <v>45146</v>
      </c>
      <c r="D79" s="10" t="s">
        <v>96</v>
      </c>
      <c r="E79" s="10" t="str">
        <f>_xlfn.XLOOKUP(TB_Vendas[[#This Row],[Código]],TB_Produtos[Código],TB_Produtos[Categoria],"")</f>
        <v>Vestuário</v>
      </c>
      <c r="F79" s="1">
        <v>8</v>
      </c>
      <c r="G79" s="29">
        <f>VLOOKUP(TB_Vendas[[#This Row],[Código]],Produtos!$B$6:$G$66,6,0)</f>
        <v>70</v>
      </c>
      <c r="H79" s="125">
        <f>_xlfn.XMATCH(TB_Vendas[[#This Row],[Categoria]],Desc_Categorias,0)</f>
        <v>3</v>
      </c>
      <c r="I79" s="125" cm="1">
        <f t="array" ref="I79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79" s="70">
        <f>VLOOKUP(TB_Vendas[[#This Row],[Qtd]],Desc_TabelaToda,TB_Vendas[[#This Row],[Indice]],TRUE)</f>
        <v>0.25</v>
      </c>
      <c r="K79" s="70" cm="1">
        <f t="array" ref="K79">INDEX(Desc_TabelaToda,MATCH(TB_Vendas[[#This Row],[Qtd]],Desc_Quantidades,1),MATCH(_xlfn.XLOOKUP(TB_Vendas[[#This Row],[Código]],TB_Produtos[[#All],[Código]],TB_Produtos[[#All],[Categoria]]),Desc_Categorias,0))</f>
        <v>0.25</v>
      </c>
      <c r="L79" s="70">
        <f>_xlfn.XLOOKUP(TB_Vendas[[#This Row],[Vendedor]],Vendedores!$A$5:$A$9,Vendedores!$D$6:$D$10)</f>
        <v>0.1</v>
      </c>
      <c r="M79" s="70">
        <f>IF(TB_Vendas[[#This Row],[Desconto (Diretão)]]&gt;TB_Vendas[[#This Row],[Desconto do Vendedor]],TB_Vendas[[#This Row],[Desconto do Vendedor]],TB_Vendas[[#This Row],[Desconto (Diretão)]])</f>
        <v>0.1</v>
      </c>
      <c r="N79" s="8">
        <f>TB_Vendas[[#This Row],[Preço Unitário]]*TB_Vendas[[#This Row],[Qtd]]</f>
        <v>560</v>
      </c>
      <c r="O79" s="1" t="s">
        <v>127</v>
      </c>
    </row>
    <row r="80" spans="1:15">
      <c r="A80" s="1">
        <f>MONTH(TB_Vendas[[#This Row],[Data]])</f>
        <v>8</v>
      </c>
      <c r="B80" s="10" t="str">
        <f>PROPER(TEXT(DATE(,TB_Vendas[[#This Row],[Nº]],1),"Mmm"))</f>
        <v>Ago</v>
      </c>
      <c r="C80" s="9">
        <v>45147</v>
      </c>
      <c r="D80" s="10" t="s">
        <v>42</v>
      </c>
      <c r="E80" s="10" t="str">
        <f>_xlfn.XLOOKUP(TB_Vendas[[#This Row],[Código]],TB_Produtos[Código],TB_Produtos[Categoria],"")</f>
        <v>Vestuário</v>
      </c>
      <c r="F80" s="1">
        <v>5</v>
      </c>
      <c r="G80" s="29">
        <f>VLOOKUP(TB_Vendas[[#This Row],[Código]],Produtos!$B$6:$G$66,6,0)</f>
        <v>46.9</v>
      </c>
      <c r="H80" s="125">
        <f>_xlfn.XMATCH(TB_Vendas[[#This Row],[Categoria]],Desc_Categorias,0)</f>
        <v>3</v>
      </c>
      <c r="I80" s="125" cm="1">
        <f t="array" ref="I80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80" s="70">
        <f>VLOOKUP(TB_Vendas[[#This Row],[Qtd]],Desc_TabelaToda,TB_Vendas[[#This Row],[Indice]],TRUE)</f>
        <v>0.25</v>
      </c>
      <c r="K80" s="70" cm="1">
        <f t="array" ref="K80">INDEX(Desc_TabelaToda,MATCH(TB_Vendas[[#This Row],[Qtd]],Desc_Quantidades,1),MATCH(_xlfn.XLOOKUP(TB_Vendas[[#This Row],[Código]],TB_Produtos[[#All],[Código]],TB_Produtos[[#All],[Categoria]]),Desc_Categorias,0))</f>
        <v>0.25</v>
      </c>
      <c r="L80" s="70">
        <f>_xlfn.XLOOKUP(TB_Vendas[[#This Row],[Vendedor]],Vendedores!$A$5:$A$9,Vendedores!$D$6:$D$10)</f>
        <v>0.2</v>
      </c>
      <c r="M80" s="70">
        <f>IF(TB_Vendas[[#This Row],[Desconto (Diretão)]]&gt;TB_Vendas[[#This Row],[Desconto do Vendedor]],TB_Vendas[[#This Row],[Desconto do Vendedor]],TB_Vendas[[#This Row],[Desconto (Diretão)]])</f>
        <v>0.2</v>
      </c>
      <c r="N80" s="8">
        <f>TB_Vendas[[#This Row],[Preço Unitário]]*TB_Vendas[[#This Row],[Qtd]]</f>
        <v>234.5</v>
      </c>
      <c r="O80" s="1" t="s">
        <v>128</v>
      </c>
    </row>
    <row r="81" spans="1:15">
      <c r="A81" s="1">
        <f>MONTH(TB_Vendas[[#This Row],[Data]])</f>
        <v>8</v>
      </c>
      <c r="B81" s="10" t="str">
        <f>PROPER(TEXT(DATE(,TB_Vendas[[#This Row],[Nº]],1),"Mmm"))</f>
        <v>Ago</v>
      </c>
      <c r="C81" s="9">
        <v>45148</v>
      </c>
      <c r="D81" s="10" t="s">
        <v>105</v>
      </c>
      <c r="E81" s="10" t="str">
        <f>_xlfn.XLOOKUP(TB_Vendas[[#This Row],[Código]],TB_Produtos[Código],TB_Produtos[Categoria],"")</f>
        <v>Vestuário</v>
      </c>
      <c r="F81" s="1">
        <v>10</v>
      </c>
      <c r="G81" s="29">
        <f>VLOOKUP(TB_Vendas[[#This Row],[Código]],Produtos!$B$6:$G$66,6,0)</f>
        <v>289.89999999999998</v>
      </c>
      <c r="H81" s="125">
        <f>_xlfn.XMATCH(TB_Vendas[[#This Row],[Categoria]],Desc_Categorias,0)</f>
        <v>3</v>
      </c>
      <c r="I81" s="125" cm="1">
        <f t="array" ref="I81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0.3</v>
      </c>
      <c r="J81" s="70">
        <f>VLOOKUP(TB_Vendas[[#This Row],[Qtd]],Desc_TabelaToda,TB_Vendas[[#This Row],[Indice]],TRUE)</f>
        <v>0.3</v>
      </c>
      <c r="K81" s="70" cm="1">
        <f t="array" ref="K81">INDEX(Desc_TabelaToda,MATCH(TB_Vendas[[#This Row],[Qtd]],Desc_Quantidades,1),MATCH(_xlfn.XLOOKUP(TB_Vendas[[#This Row],[Código]],TB_Produtos[[#All],[Código]],TB_Produtos[[#All],[Categoria]]),Desc_Categorias,0))</f>
        <v>0.3</v>
      </c>
      <c r="L81" s="70">
        <f>_xlfn.XLOOKUP(TB_Vendas[[#This Row],[Vendedor]],Vendedores!$A$5:$A$9,Vendedores!$D$6:$D$10)</f>
        <v>0.1</v>
      </c>
      <c r="M81" s="70">
        <f>IF(TB_Vendas[[#This Row],[Desconto (Diretão)]]&gt;TB_Vendas[[#This Row],[Desconto do Vendedor]],TB_Vendas[[#This Row],[Desconto do Vendedor]],TB_Vendas[[#This Row],[Desconto (Diretão)]])</f>
        <v>0.1</v>
      </c>
      <c r="N81" s="8">
        <f>TB_Vendas[[#This Row],[Preço Unitário]]*TB_Vendas[[#This Row],[Qtd]]</f>
        <v>2899</v>
      </c>
      <c r="O81" s="1" t="s">
        <v>127</v>
      </c>
    </row>
    <row r="82" spans="1:15">
      <c r="A82" s="1">
        <f>MONTH(TB_Vendas[[#This Row],[Data]])</f>
        <v>8</v>
      </c>
      <c r="B82" s="10" t="str">
        <f>PROPER(TEXT(DATE(,TB_Vendas[[#This Row],[Nº]],1),"Mmm"))</f>
        <v>Ago</v>
      </c>
      <c r="C82" s="9">
        <v>45149</v>
      </c>
      <c r="D82" s="10" t="s">
        <v>46</v>
      </c>
      <c r="E82" s="10" t="str">
        <f>_xlfn.XLOOKUP(TB_Vendas[[#This Row],[Código]],TB_Produtos[Código],TB_Produtos[Categoria],"")</f>
        <v>Vestuário</v>
      </c>
      <c r="F82" s="1">
        <v>1</v>
      </c>
      <c r="G82" s="29">
        <f>VLOOKUP(TB_Vendas[[#This Row],[Código]],Produtos!$B$6:$G$66,6,0)</f>
        <v>42.5</v>
      </c>
      <c r="H82" s="125">
        <f>_xlfn.XMATCH(TB_Vendas[[#This Row],[Categoria]],Desc_Categorias,0)</f>
        <v>3</v>
      </c>
      <c r="I82" s="125" cm="1">
        <f t="array" ref="I82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82" s="70">
        <f>VLOOKUP(TB_Vendas[[#This Row],[Qtd]],Desc_TabelaToda,TB_Vendas[[#This Row],[Indice]],TRUE)</f>
        <v>0.1</v>
      </c>
      <c r="K82" s="70" cm="1">
        <f t="array" ref="K82">INDEX(Desc_TabelaToda,MATCH(TB_Vendas[[#This Row],[Qtd]],Desc_Quantidades,1),MATCH(_xlfn.XLOOKUP(TB_Vendas[[#This Row],[Código]],TB_Produtos[[#All],[Código]],TB_Produtos[[#All],[Categoria]]),Desc_Categorias,0))</f>
        <v>0.1</v>
      </c>
      <c r="L82" s="70">
        <f>_xlfn.XLOOKUP(TB_Vendas[[#This Row],[Vendedor]],Vendedores!$A$5:$A$9,Vendedores!$D$6:$D$10)</f>
        <v>0.2</v>
      </c>
      <c r="M82" s="70">
        <f>IF(TB_Vendas[[#This Row],[Desconto (Diretão)]]&gt;TB_Vendas[[#This Row],[Desconto do Vendedor]],TB_Vendas[[#This Row],[Desconto do Vendedor]],TB_Vendas[[#This Row],[Desconto (Diretão)]])</f>
        <v>0.1</v>
      </c>
      <c r="N82" s="8">
        <f>TB_Vendas[[#This Row],[Preço Unitário]]*TB_Vendas[[#This Row],[Qtd]]</f>
        <v>42.5</v>
      </c>
      <c r="O82" s="1" t="s">
        <v>128</v>
      </c>
    </row>
    <row r="83" spans="1:15">
      <c r="A83" s="1">
        <f>MONTH(TB_Vendas[[#This Row],[Data]])</f>
        <v>8</v>
      </c>
      <c r="B83" s="10" t="str">
        <f>PROPER(TEXT(DATE(,TB_Vendas[[#This Row],[Nº]],1),"Mmm"))</f>
        <v>Ago</v>
      </c>
      <c r="C83" s="9">
        <v>45150</v>
      </c>
      <c r="D83" s="10" t="s">
        <v>115</v>
      </c>
      <c r="E83" s="10" t="str">
        <f>_xlfn.XLOOKUP(TB_Vendas[[#This Row],[Código]],TB_Produtos[Código],TB_Produtos[Categoria],"")</f>
        <v>Calçado</v>
      </c>
      <c r="F83" s="1">
        <v>2</v>
      </c>
      <c r="G83" s="29">
        <f>VLOOKUP(TB_Vendas[[#This Row],[Código]],Produtos!$B$6:$G$66,6,0)</f>
        <v>89.9</v>
      </c>
      <c r="H83" s="125">
        <f>_xlfn.XMATCH(TB_Vendas[[#This Row],[Categoria]],Desc_Categorias,0)</f>
        <v>4</v>
      </c>
      <c r="I83" s="125" cm="1">
        <f t="array" ref="I83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</v>
      </c>
      <c r="J83" s="70">
        <f>VLOOKUP(TB_Vendas[[#This Row],[Qtd]],Desc_TabelaToda,TB_Vendas[[#This Row],[Indice]],TRUE)</f>
        <v>0.1</v>
      </c>
      <c r="K83" s="70" cm="1">
        <f t="array" ref="K83">INDEX(Desc_TabelaToda,MATCH(TB_Vendas[[#This Row],[Qtd]],Desc_Quantidades,1),MATCH(_xlfn.XLOOKUP(TB_Vendas[[#This Row],[Código]],TB_Produtos[[#All],[Código]],TB_Produtos[[#All],[Categoria]]),Desc_Categorias,0))</f>
        <v>0.1</v>
      </c>
      <c r="L83" s="70">
        <f>_xlfn.XLOOKUP(TB_Vendas[[#This Row],[Vendedor]],Vendedores!$A$5:$A$9,Vendedores!$D$6:$D$10)</f>
        <v>0.1</v>
      </c>
      <c r="M83" s="70">
        <f>IF(TB_Vendas[[#This Row],[Desconto (Diretão)]]&gt;TB_Vendas[[#This Row],[Desconto do Vendedor]],TB_Vendas[[#This Row],[Desconto do Vendedor]],TB_Vendas[[#This Row],[Desconto (Diretão)]])</f>
        <v>0.1</v>
      </c>
      <c r="N83" s="8">
        <f>TB_Vendas[[#This Row],[Preço Unitário]]*TB_Vendas[[#This Row],[Qtd]]</f>
        <v>179.8</v>
      </c>
      <c r="O83" s="1" t="s">
        <v>127</v>
      </c>
    </row>
    <row r="84" spans="1:15">
      <c r="A84" s="1">
        <f>MONTH(TB_Vendas[[#This Row],[Data]])</f>
        <v>8</v>
      </c>
      <c r="B84" s="10" t="str">
        <f>PROPER(TEXT(DATE(,TB_Vendas[[#This Row],[Nº]],1),"Mmm"))</f>
        <v>Ago</v>
      </c>
      <c r="C84" s="9">
        <v>45151</v>
      </c>
      <c r="D84" s="10" t="s">
        <v>60</v>
      </c>
      <c r="E84" s="10" t="str">
        <f>_xlfn.XLOOKUP(TB_Vendas[[#This Row],[Código]],TB_Produtos[Código],TB_Produtos[Categoria],"")</f>
        <v>Calçado</v>
      </c>
      <c r="F84" s="1">
        <v>3</v>
      </c>
      <c r="G84" s="29">
        <f>VLOOKUP(TB_Vendas[[#This Row],[Código]],Produtos!$B$6:$G$66,6,0)</f>
        <v>255</v>
      </c>
      <c r="H84" s="125">
        <f>_xlfn.XMATCH(TB_Vendas[[#This Row],[Categoria]],Desc_Categorias,0)</f>
        <v>4</v>
      </c>
      <c r="I84" s="125" cm="1">
        <f t="array" ref="I84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0.15</v>
      </c>
      <c r="J84" s="70">
        <f>VLOOKUP(TB_Vendas[[#This Row],[Qtd]],Desc_TabelaToda,TB_Vendas[[#This Row],[Indice]],TRUE)</f>
        <v>0.15</v>
      </c>
      <c r="K84" s="70" cm="1">
        <f t="array" ref="K84">INDEX(Desc_TabelaToda,MATCH(TB_Vendas[[#This Row],[Qtd]],Desc_Quantidades,1),MATCH(_xlfn.XLOOKUP(TB_Vendas[[#This Row],[Código]],TB_Produtos[[#All],[Código]],TB_Produtos[[#All],[Categoria]]),Desc_Categorias,0))</f>
        <v>0.15</v>
      </c>
      <c r="L84" s="70">
        <f>_xlfn.XLOOKUP(TB_Vendas[[#This Row],[Vendedor]],Vendedores!$A$5:$A$9,Vendedores!$D$6:$D$10)</f>
        <v>0.25</v>
      </c>
      <c r="M84" s="70">
        <f>IF(TB_Vendas[[#This Row],[Desconto (Diretão)]]&gt;TB_Vendas[[#This Row],[Desconto do Vendedor]],TB_Vendas[[#This Row],[Desconto do Vendedor]],TB_Vendas[[#This Row],[Desconto (Diretão)]])</f>
        <v>0.15</v>
      </c>
      <c r="N84" s="8">
        <f>TB_Vendas[[#This Row],[Preço Unitário]]*TB_Vendas[[#This Row],[Qtd]]</f>
        <v>765</v>
      </c>
      <c r="O84" s="1" t="s">
        <v>126</v>
      </c>
    </row>
    <row r="85" spans="1:15">
      <c r="A85" s="1">
        <f>MONTH(TB_Vendas[[#This Row],[Data]])</f>
        <v>8</v>
      </c>
      <c r="B85" s="10" t="str">
        <f>PROPER(TEXT(DATE(,TB_Vendas[[#This Row],[Nº]],1),"Mmm"))</f>
        <v>Ago</v>
      </c>
      <c r="C85" s="9">
        <v>45152</v>
      </c>
      <c r="D85" s="10" t="s">
        <v>46</v>
      </c>
      <c r="E85" s="10" t="str">
        <f>_xlfn.XLOOKUP(TB_Vendas[[#This Row],[Código]],TB_Produtos[Código],TB_Produtos[Categoria],"")</f>
        <v>Vestuário</v>
      </c>
      <c r="F85" s="1">
        <v>6</v>
      </c>
      <c r="G85" s="29">
        <f>VLOOKUP(TB_Vendas[[#This Row],[Código]],Produtos!$B$6:$G$66,6,0)</f>
        <v>42.5</v>
      </c>
      <c r="H85" s="125">
        <f>_xlfn.XMATCH(TB_Vendas[[#This Row],[Categoria]],Desc_Categorias,0)</f>
        <v>3</v>
      </c>
      <c r="I85" s="125" cm="1">
        <f t="array" ref="I85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85" s="70">
        <f>VLOOKUP(TB_Vendas[[#This Row],[Qtd]],Desc_TabelaToda,TB_Vendas[[#This Row],[Indice]],TRUE)</f>
        <v>0.25</v>
      </c>
      <c r="K85" s="70" cm="1">
        <f t="array" ref="K85">INDEX(Desc_TabelaToda,MATCH(TB_Vendas[[#This Row],[Qtd]],Desc_Quantidades,1),MATCH(_xlfn.XLOOKUP(TB_Vendas[[#This Row],[Código]],TB_Produtos[[#All],[Código]],TB_Produtos[[#All],[Categoria]]),Desc_Categorias,0))</f>
        <v>0.25</v>
      </c>
      <c r="L85" s="70">
        <f>_xlfn.XLOOKUP(TB_Vendas[[#This Row],[Vendedor]],Vendedores!$A$5:$A$9,Vendedores!$D$6:$D$10)</f>
        <v>0.15</v>
      </c>
      <c r="M85" s="70">
        <f>IF(TB_Vendas[[#This Row],[Desconto (Diretão)]]&gt;TB_Vendas[[#This Row],[Desconto do Vendedor]],TB_Vendas[[#This Row],[Desconto do Vendedor]],TB_Vendas[[#This Row],[Desconto (Diretão)]])</f>
        <v>0.15</v>
      </c>
      <c r="N85" s="8">
        <f>TB_Vendas[[#This Row],[Preço Unitário]]*TB_Vendas[[#This Row],[Qtd]]</f>
        <v>255</v>
      </c>
      <c r="O85" s="1" t="s">
        <v>129</v>
      </c>
    </row>
    <row r="86" spans="1:15">
      <c r="A86" s="1">
        <f>MONTH(TB_Vendas[[#This Row],[Data]])</f>
        <v>8</v>
      </c>
      <c r="B86" s="10" t="str">
        <f>PROPER(TEXT(DATE(,TB_Vendas[[#This Row],[Nº]],1),"Mmm"))</f>
        <v>Ago</v>
      </c>
      <c r="C86" s="9">
        <v>45153</v>
      </c>
      <c r="D86" s="10" t="s">
        <v>45</v>
      </c>
      <c r="E86" s="10" t="str">
        <f>_xlfn.XLOOKUP(TB_Vendas[[#This Row],[Código]],TB_Produtos[Código],TB_Produtos[Categoria],"")</f>
        <v>Vestuário</v>
      </c>
      <c r="F86" s="1">
        <v>8</v>
      </c>
      <c r="G86" s="29">
        <f>VLOOKUP(TB_Vendas[[#This Row],[Código]],Produtos!$B$6:$G$66,6,0)</f>
        <v>39.9</v>
      </c>
      <c r="H86" s="125">
        <f>_xlfn.XMATCH(TB_Vendas[[#This Row],[Categoria]],Desc_Categorias,0)</f>
        <v>3</v>
      </c>
      <c r="I86" s="125" cm="1">
        <f t="array" ref="I86">VLOOKUP(TB_Vendas[[#This Row],[Qtd]],Desc_TabelaToda,_xlfn.IFS(TB_Vendas[[#This Row],[Categoria]]='Cadastros Auxiliares'!$C$8,2,TB_Vendas[[#This Row],[Categoria]]='Cadastros Auxiliares'!$D$8,3,TB_Vendas[[#This Row],[Categoria]]='Cadastros Auxiliares'!$E$8,4),TRUE)</f>
        <v>0.25</v>
      </c>
      <c r="J86" s="70">
        <f>VLOOKUP(TB_Vendas[[#This Row],[Qtd]],Desc_TabelaToda,TB_Vendas[[#This Row],[Indice]],TRUE)</f>
        <v>0.25</v>
      </c>
      <c r="K86" s="70" cm="1">
        <f t="array" ref="K86">INDEX(Desc_TabelaToda,MATCH(TB_Vendas[[#This Row],[Qtd]],Desc_Quantidades,1),MATCH(_xlfn.XLOOKUP(TB_Vendas[[#This Row],[Código]],TB_Produtos[[#All],[Código]],TB_Produtos[[#All],[Categoria]]),Desc_Categorias,0))</f>
        <v>0.25</v>
      </c>
      <c r="L86" s="70">
        <f>_xlfn.XLOOKUP(TB_Vendas[[#This Row],[Vendedor]],Vendedores!$A$5:$A$9,Vendedores!$D$6:$D$10)</f>
        <v>0.1</v>
      </c>
      <c r="M86" s="70">
        <f>IF(TB_Vendas[[#This Row],[Desconto (Diretão)]]&gt;TB_Vendas[[#This Row],[Desconto do Vendedor]],TB_Vendas[[#This Row],[Desconto do Vendedor]],TB_Vendas[[#This Row],[Desconto (Diretão)]])</f>
        <v>0.1</v>
      </c>
      <c r="N86" s="8">
        <f>TB_Vendas[[#This Row],[Preço Unitário]]*TB_Vendas[[#This Row],[Qtd]]</f>
        <v>319.2</v>
      </c>
      <c r="O86" s="1" t="s">
        <v>127</v>
      </c>
    </row>
  </sheetData>
  <phoneticPr fontId="12" type="noConversion"/>
  <conditionalFormatting sqref="F4:M4">
    <cfRule type="cellIs" dxfId="1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selection activeCell="A6" sqref="A6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40" customFormat="1" ht="40.15" customHeight="1">
      <c r="A1" s="43"/>
      <c r="B1" s="86" t="s">
        <v>133</v>
      </c>
      <c r="C1" s="86"/>
      <c r="D1" s="45"/>
      <c r="E1" s="45"/>
    </row>
    <row r="2" spans="1:5" s="41" customFormat="1" ht="4.5" customHeight="1">
      <c r="A2" s="44"/>
      <c r="B2" s="44"/>
    </row>
    <row r="3" spans="1:5" ht="4.5" customHeight="1" thickBot="1">
      <c r="A3" s="42"/>
      <c r="B3" s="42"/>
    </row>
    <row r="4" spans="1:5" ht="21.75">
      <c r="A4" s="52" t="s">
        <v>30</v>
      </c>
      <c r="B4" s="58" t="s">
        <v>74</v>
      </c>
      <c r="C4" s="58" t="s">
        <v>145</v>
      </c>
      <c r="D4" s="53" t="s">
        <v>146</v>
      </c>
    </row>
    <row r="5" spans="1:5" ht="22.5" customHeight="1">
      <c r="A5" s="64" t="s">
        <v>126</v>
      </c>
      <c r="B5" s="57" t="s">
        <v>73</v>
      </c>
      <c r="C5" s="57" t="s">
        <v>147</v>
      </c>
      <c r="D5" s="67">
        <v>0.2</v>
      </c>
    </row>
    <row r="6" spans="1:5" ht="22.5" customHeight="1">
      <c r="A6" s="64" t="s">
        <v>127</v>
      </c>
      <c r="B6" s="57" t="s">
        <v>75</v>
      </c>
      <c r="C6" s="57" t="s">
        <v>148</v>
      </c>
      <c r="D6" s="67">
        <v>0.25</v>
      </c>
    </row>
    <row r="7" spans="1:5" ht="22.5" customHeight="1">
      <c r="A7" s="64" t="s">
        <v>128</v>
      </c>
      <c r="B7" s="57" t="s">
        <v>72</v>
      </c>
      <c r="C7" s="57" t="s">
        <v>149</v>
      </c>
      <c r="D7" s="67">
        <v>0.1</v>
      </c>
    </row>
    <row r="8" spans="1:5" ht="22.5" customHeight="1">
      <c r="A8" s="64" t="s">
        <v>129</v>
      </c>
      <c r="B8" s="57" t="s">
        <v>131</v>
      </c>
      <c r="C8" s="57" t="s">
        <v>150</v>
      </c>
      <c r="D8" s="67">
        <v>0.2</v>
      </c>
    </row>
    <row r="9" spans="1:5" ht="22.5" customHeight="1" thickBot="1">
      <c r="A9" s="65" t="s">
        <v>130</v>
      </c>
      <c r="B9" s="66" t="s">
        <v>132</v>
      </c>
      <c r="C9" s="66" t="s">
        <v>151</v>
      </c>
      <c r="D9" s="68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topLeftCell="A6" zoomScale="130" zoomScaleNormal="130" workbookViewId="0">
      <selection activeCell="D13" sqref="D13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40" customFormat="1" ht="40.15" customHeight="1">
      <c r="A1" s="43"/>
      <c r="B1" s="47" t="s">
        <v>144</v>
      </c>
      <c r="C1" s="45"/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23.25" customHeight="1">
      <c r="A4" s="42"/>
      <c r="B4" s="87" t="s">
        <v>153</v>
      </c>
      <c r="C4" s="87"/>
      <c r="D4" s="42"/>
      <c r="E4" s="87" t="s">
        <v>160</v>
      </c>
      <c r="F4" s="87"/>
    </row>
    <row r="5" spans="1:9" ht="5.25" customHeight="1" thickBot="1"/>
    <row r="6" spans="1:9" ht="24.6" customHeight="1" thickBot="1">
      <c r="B6" s="72" t="s">
        <v>154</v>
      </c>
      <c r="C6" s="71" t="s">
        <v>115</v>
      </c>
      <c r="E6" s="72" t="s">
        <v>159</v>
      </c>
      <c r="F6" s="76">
        <v>44949</v>
      </c>
    </row>
    <row r="7" spans="1:9" ht="24.6" customHeight="1" thickTop="1" thickBot="1">
      <c r="B7" s="72" t="s">
        <v>155</v>
      </c>
      <c r="C7" s="50" t="str">
        <f>IFERROR(VLOOKUP(C6,TB_Produtos[#All],2,FALSE),"")</f>
        <v>Sandália Rasteira</v>
      </c>
      <c r="E7" s="72" t="s">
        <v>162</v>
      </c>
      <c r="F7" s="50" t="str">
        <f>_xlfn.XLOOKUP(WEEKDAY(F6),'Cadastros Auxiliares'!$B$4:$I$4,'Cadastros Auxiliares'!$B$5:$I$5,"")</f>
        <v>Segunda-feira</v>
      </c>
      <c r="G7" s="49"/>
    </row>
    <row r="8" spans="1:9" ht="24.6" customHeight="1" thickTop="1" thickBot="1">
      <c r="B8" s="73" t="s">
        <v>156</v>
      </c>
      <c r="C8" s="48" cm="1">
        <f t="array" ref="C8">_xlfn.XLOOKUP(C6,TB_Produtos[[#All],[Código]],TB_Produtos[[#All],[Tamanho]],"")</f>
        <v>35</v>
      </c>
      <c r="E8" s="73" t="s">
        <v>163</v>
      </c>
      <c r="F8" s="77">
        <f>SUMIF(TB_Vendas[[#All],[Data]],Consultas!$F$6,TB_Vendas[[#All],[Total]])</f>
        <v>146</v>
      </c>
      <c r="G8" s="49"/>
    </row>
    <row r="9" spans="1:9" ht="24.6" customHeight="1" thickTop="1" thickBot="1">
      <c r="B9" s="74" t="s">
        <v>157</v>
      </c>
      <c r="C9" s="48" t="str">
        <f>IFERROR(VLOOKUP($C$6,Produtos!$B$6:$G$66,4,0),"")</f>
        <v>Calçado</v>
      </c>
      <c r="E9" s="75" t="s">
        <v>161</v>
      </c>
      <c r="F9" s="51">
        <f>SUMIF(TB_Vendas[[#All],[Data]],Consultas!$F$6,TB_Vendas[[#All],[Qtd]])</f>
        <v>1</v>
      </c>
      <c r="G9" s="49"/>
    </row>
    <row r="10" spans="1:9" ht="24.6" customHeight="1" thickTop="1" thickBot="1">
      <c r="B10" s="74" t="s">
        <v>164</v>
      </c>
      <c r="C10" s="77">
        <f>_xlfn.XLOOKUP($C$6,Produtos!$B$6:$B$66,Produtos!$G$6:$G$66,"")</f>
        <v>89.9</v>
      </c>
      <c r="G10" s="49"/>
    </row>
    <row r="11" spans="1:9" ht="24.6" customHeight="1" thickTop="1" thickBot="1">
      <c r="B11" s="73" t="s">
        <v>158</v>
      </c>
      <c r="C11" s="48" cm="1">
        <f t="array" ref="C11">_xlfn.XLOOKUP($C$6,TB_Produtos[[#All],[Código]],TB_Produtos[[#All],[Estoque]],"")</f>
        <v>48</v>
      </c>
      <c r="G11" s="49"/>
    </row>
    <row r="12" spans="1:9" ht="23.25" thickTop="1" thickBot="1">
      <c r="B12" s="74" t="s">
        <v>165</v>
      </c>
      <c r="C12" s="48" t="str" cm="1">
        <f t="array" ref="C12">_xlfn.IFS(C11=0,"Estoque Zerado",C11&gt;=C13,"Estoque OK",1,"Rever Estoque")</f>
        <v>Estoque OK</v>
      </c>
      <c r="E12" s="78"/>
    </row>
    <row r="13" spans="1:9" ht="24.75" thickTop="1" thickBot="1">
      <c r="B13" s="75" t="s">
        <v>167</v>
      </c>
      <c r="C13" s="83">
        <f>_xlfn.XLOOKUP(C9,'Cadastros Auxiliares'!G9:G11,'Cadastros Auxiliares'!H9:H11)</f>
        <v>15</v>
      </c>
      <c r="E13" s="79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F17" sqref="F17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40" customFormat="1" ht="40.15" customHeight="1">
      <c r="B1" s="63" t="s">
        <v>135</v>
      </c>
      <c r="C1" s="47"/>
      <c r="D1" s="47"/>
      <c r="E1" s="47"/>
      <c r="F1" s="47"/>
      <c r="G1" s="47"/>
      <c r="H1" s="47"/>
      <c r="I1" s="45"/>
      <c r="J1" s="45"/>
    </row>
    <row r="2" spans="2:10" s="41" customFormat="1" ht="4.5" customHeight="1">
      <c r="B2" s="44"/>
      <c r="C2" s="44"/>
      <c r="D2" s="44"/>
      <c r="E2" s="44"/>
      <c r="F2" s="44"/>
      <c r="G2" s="44"/>
    </row>
    <row r="3" spans="2:10" ht="4.5" customHeight="1" thickBot="1">
      <c r="B3" s="42"/>
      <c r="C3" s="42"/>
      <c r="D3" s="42"/>
      <c r="E3" s="42"/>
      <c r="F3" s="42"/>
      <c r="G3" s="42"/>
    </row>
    <row r="4" spans="2:10" ht="22.5" thickBot="1">
      <c r="B4" s="35" t="s">
        <v>30</v>
      </c>
      <c r="C4" s="38">
        <v>1</v>
      </c>
      <c r="D4" s="39">
        <v>2</v>
      </c>
      <c r="E4" s="38">
        <v>3</v>
      </c>
      <c r="F4" s="39">
        <v>4</v>
      </c>
      <c r="G4" s="38">
        <v>5</v>
      </c>
      <c r="H4" s="39">
        <v>6</v>
      </c>
      <c r="I4" s="38">
        <v>7</v>
      </c>
    </row>
    <row r="5" spans="2:10" s="56" customFormat="1" ht="22.5" thickBot="1">
      <c r="B5" s="54" t="s">
        <v>136</v>
      </c>
      <c r="C5" s="55" t="s">
        <v>137</v>
      </c>
      <c r="D5" s="55" t="s">
        <v>138</v>
      </c>
      <c r="E5" s="55" t="s">
        <v>139</v>
      </c>
      <c r="F5" s="55" t="s">
        <v>140</v>
      </c>
      <c r="G5" s="55" t="s">
        <v>141</v>
      </c>
      <c r="H5" s="55" t="s">
        <v>142</v>
      </c>
      <c r="I5" s="55" t="s">
        <v>143</v>
      </c>
    </row>
    <row r="7" spans="2:10" ht="15.75" thickBot="1"/>
    <row r="8" spans="2:10" ht="44.25" thickBot="1">
      <c r="B8" s="60" t="s">
        <v>152</v>
      </c>
      <c r="C8" s="61" t="s">
        <v>13</v>
      </c>
      <c r="D8" s="61" t="s">
        <v>12</v>
      </c>
      <c r="E8" s="61" t="s">
        <v>14</v>
      </c>
      <c r="G8" s="80" t="s">
        <v>10</v>
      </c>
      <c r="H8" s="81" t="s">
        <v>166</v>
      </c>
    </row>
    <row r="9" spans="2:10" ht="18.75" thickBot="1">
      <c r="B9" s="55">
        <v>1</v>
      </c>
      <c r="C9" s="59">
        <v>0</v>
      </c>
      <c r="D9" s="59">
        <v>0.1</v>
      </c>
      <c r="E9" s="62">
        <v>0</v>
      </c>
      <c r="G9" s="55" t="s">
        <v>13</v>
      </c>
      <c r="H9" s="82">
        <v>5</v>
      </c>
    </row>
    <row r="10" spans="2:10" ht="18.75" thickBot="1">
      <c r="B10" s="55">
        <v>2</v>
      </c>
      <c r="C10" s="59">
        <v>0.05</v>
      </c>
      <c r="D10" s="59">
        <v>0.15</v>
      </c>
      <c r="E10" s="62">
        <v>0.1</v>
      </c>
      <c r="G10" s="55" t="s">
        <v>12</v>
      </c>
      <c r="H10" s="82">
        <v>10</v>
      </c>
    </row>
    <row r="11" spans="2:10" ht="18.75" thickBot="1">
      <c r="B11" s="55">
        <v>3</v>
      </c>
      <c r="C11" s="59">
        <v>0.15</v>
      </c>
      <c r="D11" s="59">
        <v>0.2</v>
      </c>
      <c r="E11" s="62">
        <v>0.15</v>
      </c>
      <c r="G11" s="55" t="s">
        <v>14</v>
      </c>
      <c r="H11" s="82">
        <v>15</v>
      </c>
    </row>
    <row r="12" spans="2:10" ht="18.75" thickBot="1">
      <c r="B12" s="55">
        <v>5</v>
      </c>
      <c r="C12" s="59">
        <v>0.25</v>
      </c>
      <c r="D12" s="59">
        <v>0.25</v>
      </c>
      <c r="E12" s="62">
        <v>0.25</v>
      </c>
    </row>
    <row r="13" spans="2:10" ht="18.75" thickBot="1">
      <c r="B13" s="55">
        <v>10</v>
      </c>
      <c r="C13" s="59">
        <v>0.3</v>
      </c>
      <c r="D13" s="59">
        <v>0.3</v>
      </c>
      <c r="E13" s="62">
        <v>0.3</v>
      </c>
      <c r="G13" s="69"/>
    </row>
    <row r="15" spans="2:10" ht="23.25">
      <c r="B15" s="79"/>
      <c r="C15" s="79"/>
      <c r="D15" s="79"/>
      <c r="E15" s="79"/>
      <c r="F15" s="79"/>
    </row>
    <row r="16" spans="2:10" ht="23.25">
      <c r="B16" s="79"/>
      <c r="C16" s="79" t="s">
        <v>60</v>
      </c>
      <c r="D16" s="79"/>
      <c r="E16" s="79"/>
      <c r="F16" s="79" cm="1">
        <f t="array" ref="F16">MATCH(_xlfn.XLOOKUP(C16,TB_Produtos[[#All],[Código]],TB_Produtos[[#All],[Categoria]]),Desc_Categorias,0)</f>
        <v>4</v>
      </c>
      <c r="G16" t="s">
        <v>169</v>
      </c>
    </row>
    <row r="17" spans="2:7" ht="23.25">
      <c r="B17" s="79"/>
      <c r="C17" s="79">
        <v>4</v>
      </c>
      <c r="D17" s="84">
        <f>VLOOKUP(C17,B9:E13,MATCH(C18,B8:E8,0),TRUE)</f>
        <v>0.15</v>
      </c>
      <c r="E17" s="79"/>
      <c r="F17" s="79">
        <f>MATCH(C17,B8:B13,1)</f>
        <v>4</v>
      </c>
      <c r="G17" t="s">
        <v>168</v>
      </c>
    </row>
    <row r="18" spans="2:7" ht="23.25">
      <c r="B18" s="79"/>
      <c r="C18" s="79" t="str" cm="1">
        <f t="array" ref="C18">_xlfn.XLOOKUP(C16,TB_Produtos[[#All],[Código]],TB_Produtos[[#All],[Categoria]])</f>
        <v>Calçado</v>
      </c>
      <c r="D18" s="79"/>
      <c r="E18" s="79"/>
      <c r="F18" s="84">
        <f>INDEX(B8:E13,MATCH(C17,B8:B13,1),MATCH(C18,B8:E8,0))</f>
        <v>0.15</v>
      </c>
    </row>
    <row r="19" spans="2:7" ht="23.25">
      <c r="B19" s="79"/>
      <c r="C19" s="79"/>
      <c r="D19" s="79"/>
      <c r="E19" s="79"/>
      <c r="F19" s="79"/>
    </row>
    <row r="20" spans="2:7" ht="23.25">
      <c r="B20" s="79"/>
      <c r="C20" s="79"/>
      <c r="D20" s="79"/>
      <c r="E20" s="79"/>
      <c r="F20" s="79"/>
    </row>
  </sheetData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I10" sqref="I10"/>
    </sheetView>
  </sheetViews>
  <sheetFormatPr defaultRowHeight="15"/>
  <cols>
    <col min="1" max="1" width="17.140625" customWidth="1"/>
    <col min="2" max="2" width="20.85546875" customWidth="1"/>
    <col min="3" max="3" width="1.28515625" customWidth="1"/>
    <col min="6" max="6" width="13.5703125" customWidth="1"/>
    <col min="8" max="8" width="1.28515625" customWidth="1"/>
    <col min="9" max="11" width="13" customWidth="1"/>
    <col min="12" max="12" width="15.28515625" customWidth="1"/>
  </cols>
  <sheetData>
    <row r="1" spans="1:12" s="14" customFormat="1">
      <c r="A1" s="15" t="s">
        <v>84</v>
      </c>
      <c r="B1" s="16" t="s">
        <v>85</v>
      </c>
      <c r="D1" s="15" t="s">
        <v>87</v>
      </c>
      <c r="E1" s="19" t="s">
        <v>86</v>
      </c>
      <c r="F1" s="19" t="s">
        <v>16</v>
      </c>
      <c r="G1" s="16" t="s">
        <v>15</v>
      </c>
      <c r="I1" s="22" t="s">
        <v>10</v>
      </c>
      <c r="J1" s="24" t="s">
        <v>95</v>
      </c>
      <c r="K1" s="24" t="s">
        <v>94</v>
      </c>
      <c r="L1" s="23" t="s">
        <v>16</v>
      </c>
    </row>
    <row r="2" spans="1:12">
      <c r="A2" s="3" t="s">
        <v>13</v>
      </c>
      <c r="B2" s="17" t="e">
        <f>SUMIF(#REF!,A2,TB_Vendas[Total])</f>
        <v>#REF!</v>
      </c>
      <c r="D2" s="3">
        <v>1</v>
      </c>
      <c r="E2" s="2" t="s">
        <v>88</v>
      </c>
      <c r="F2" s="6">
        <f>SUMIF(TB_Vendas[Nº],D2,TB_Vendas[Total])</f>
        <v>1750.9</v>
      </c>
      <c r="G2" s="20">
        <f>SUMIF(TB_Vendas[Nº],D2,TB_Vendas[Qtd])</f>
        <v>14</v>
      </c>
      <c r="I2" s="3" t="s">
        <v>72</v>
      </c>
      <c r="J2" s="27" t="e">
        <f>L2/SUM($L$2:$L$4)</f>
        <v>#DIV/0!</v>
      </c>
      <c r="K2" s="25" t="e">
        <f>100%-J2</f>
        <v>#DIV/0!</v>
      </c>
      <c r="L2" s="17">
        <f>SUMIF(TB_Vendas[Vendedor],I2,TB_Vendas[Total])</f>
        <v>0</v>
      </c>
    </row>
    <row r="3" spans="1:12">
      <c r="A3" s="3" t="s">
        <v>71</v>
      </c>
      <c r="B3" s="17" t="e">
        <f>SUMIF(#REF!,A3,TB_Vendas[Total])</f>
        <v>#REF!</v>
      </c>
      <c r="D3" s="3">
        <v>2</v>
      </c>
      <c r="E3" s="2" t="s">
        <v>89</v>
      </c>
      <c r="F3" s="6">
        <f>SUMIF(TB_Vendas[Nº],D3,TB_Vendas[Total])</f>
        <v>2974.9</v>
      </c>
      <c r="G3" s="20">
        <f>SUMIF(TB_Vendas[Nº],D3,TB_Vendas[Qtd])</f>
        <v>15</v>
      </c>
      <c r="I3" s="3" t="s">
        <v>73</v>
      </c>
      <c r="J3" s="27" t="e">
        <f t="shared" ref="J3" si="0">L3/SUM($L$2:$L$4)</f>
        <v>#DIV/0!</v>
      </c>
      <c r="K3" s="25" t="e">
        <f t="shared" ref="K3:K4" si="1">100%-J3</f>
        <v>#DIV/0!</v>
      </c>
      <c r="L3" s="17">
        <f>SUMIF(TB_Vendas[Vendedor],I3,TB_Vendas[Total])</f>
        <v>0</v>
      </c>
    </row>
    <row r="4" spans="1:12" ht="15.75" thickBot="1">
      <c r="A4" s="4" t="s">
        <v>12</v>
      </c>
      <c r="B4" s="18" t="e">
        <f>SUMIF(#REF!,A4,TB_Vendas[Total])</f>
        <v>#REF!</v>
      </c>
      <c r="D4" s="3">
        <v>3</v>
      </c>
      <c r="E4" s="2" t="s">
        <v>90</v>
      </c>
      <c r="F4" s="6">
        <f>SUMIF(TB_Vendas[Nº],D4,TB_Vendas[Total])</f>
        <v>3698.1</v>
      </c>
      <c r="G4" s="20">
        <f>SUMIF(TB_Vendas[Nº],D4,TB_Vendas[Qtd])</f>
        <v>26</v>
      </c>
      <c r="I4" s="4" t="s">
        <v>75</v>
      </c>
      <c r="J4" s="28" t="e">
        <f>L4/SUM($L$2:$L$4)</f>
        <v>#DIV/0!</v>
      </c>
      <c r="K4" s="26" t="e">
        <f t="shared" si="1"/>
        <v>#DIV/0!</v>
      </c>
      <c r="L4" s="18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3651.0999999999995</v>
      </c>
      <c r="G5" s="20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2776.2999999999997</v>
      </c>
      <c r="G6" s="20">
        <f>SUMIF(TB_Vendas[Nº],D6,TB_Vendas[Qtd])</f>
        <v>17</v>
      </c>
    </row>
    <row r="7" spans="1:12" ht="15.75" thickBot="1">
      <c r="D7" s="4">
        <v>6</v>
      </c>
      <c r="E7" s="5" t="s">
        <v>93</v>
      </c>
      <c r="F7" s="7">
        <f>SUMIF(TB_Vendas[Nº],D7,TB_Vendas[Total])</f>
        <v>3477.7000000000007</v>
      </c>
      <c r="G7" s="21">
        <f>SUMIF(TB_Vendas[Nº],D7,TB_Vendas[Qtd])</f>
        <v>41</v>
      </c>
    </row>
    <row r="11" spans="1:12">
      <c r="I11" s="30"/>
      <c r="J11" s="30"/>
      <c r="K11" s="30"/>
      <c r="L11" s="30"/>
    </row>
    <row r="12" spans="1:12">
      <c r="J12" s="31"/>
      <c r="K12" s="32"/>
      <c r="L12" s="8"/>
    </row>
    <row r="13" spans="1:12">
      <c r="J13" s="31"/>
      <c r="K13" s="32"/>
      <c r="L13" s="8"/>
    </row>
    <row r="14" spans="1:12">
      <c r="J14" s="31"/>
      <c r="K14" s="32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2" sqref="W2:AN3"/>
    </sheetView>
  </sheetViews>
  <sheetFormatPr defaultColWidth="2" defaultRowHeight="9.75" customHeight="1"/>
  <cols>
    <col min="1" max="16384" width="2" style="12"/>
  </cols>
  <sheetData>
    <row r="1" spans="3:80" ht="9.75" customHeight="1" thickBot="1"/>
    <row r="2" spans="3:80" ht="9.75" customHeight="1">
      <c r="W2" s="88" t="s">
        <v>78</v>
      </c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90"/>
      <c r="AQ2" s="88" t="s">
        <v>79</v>
      </c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90"/>
      <c r="BK2" s="88" t="s">
        <v>80</v>
      </c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90"/>
    </row>
    <row r="3" spans="3:80" ht="9.75" customHeight="1" thickBot="1"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3"/>
      <c r="AQ3" s="91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3"/>
      <c r="BK3" s="91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3"/>
    </row>
    <row r="4" spans="3:80" ht="9.75" customHeight="1">
      <c r="W4" s="103">
        <f>COUNTA(TB_Produtos[Código])</f>
        <v>60</v>
      </c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5"/>
      <c r="AQ4" s="103">
        <f>SUM(TB_Vendas[Qtd])</f>
        <v>250</v>
      </c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5"/>
      <c r="BK4" s="112">
        <f>SUM(TB_Vendas[Total])</f>
        <v>33304.799999999988</v>
      </c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4"/>
    </row>
    <row r="5" spans="3:80" ht="9.75" customHeight="1">
      <c r="W5" s="106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8"/>
      <c r="AQ5" s="106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8"/>
      <c r="BK5" s="115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7"/>
    </row>
    <row r="6" spans="3:80" ht="9.75" customHeight="1">
      <c r="W6" s="106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8"/>
      <c r="AQ6" s="106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8"/>
      <c r="BK6" s="115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7"/>
    </row>
    <row r="7" spans="3:80" ht="9.75" customHeight="1" thickBot="1">
      <c r="W7" s="109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1"/>
      <c r="AQ7" s="109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1"/>
      <c r="BK7" s="118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20"/>
    </row>
    <row r="8" spans="3:80" ht="9.75" customHeight="1" thickBot="1"/>
    <row r="9" spans="3:80" ht="9.75" customHeight="1">
      <c r="C9" s="88" t="s">
        <v>81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90"/>
    </row>
    <row r="10" spans="3:80" ht="9.75" customHeight="1" thickBot="1">
      <c r="C10" s="91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3"/>
    </row>
    <row r="11" spans="3:80" ht="9.75" customHeight="1">
      <c r="C11" s="94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6"/>
    </row>
    <row r="12" spans="3:80" ht="9.75" customHeight="1">
      <c r="C12" s="97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9"/>
    </row>
    <row r="13" spans="3:80" ht="9.75" customHeight="1">
      <c r="C13" s="97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9"/>
    </row>
    <row r="14" spans="3:80" ht="9.75" customHeight="1">
      <c r="C14" s="97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9"/>
    </row>
    <row r="15" spans="3:80" ht="9.75" customHeight="1">
      <c r="C15" s="97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9"/>
    </row>
    <row r="16" spans="3:80" ht="9.75" customHeight="1">
      <c r="C16" s="97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9"/>
    </row>
    <row r="17" spans="3:80" ht="9.75" customHeight="1">
      <c r="C17" s="97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9"/>
    </row>
    <row r="18" spans="3:80" ht="9.75" customHeight="1">
      <c r="C18" s="97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9"/>
    </row>
    <row r="19" spans="3:80" ht="9.75" customHeight="1">
      <c r="C19" s="97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9"/>
    </row>
    <row r="20" spans="3:80" ht="9.75" customHeight="1">
      <c r="C20" s="97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9"/>
    </row>
    <row r="21" spans="3:80" ht="9.75" customHeight="1"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9"/>
    </row>
    <row r="22" spans="3:80" ht="9.75" customHeight="1">
      <c r="C22" s="9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9"/>
    </row>
    <row r="23" spans="3:80" ht="9.75" customHeight="1"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9"/>
    </row>
    <row r="24" spans="3:80" ht="9.75" customHeight="1" thickBot="1"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2"/>
    </row>
    <row r="25" spans="3:80" ht="9.75" customHeight="1" thickBot="1"/>
    <row r="26" spans="3:80" ht="9.75" customHeight="1">
      <c r="C26" s="88" t="s">
        <v>82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90"/>
      <c r="AO26" s="13"/>
      <c r="AP26" s="13"/>
      <c r="AQ26" s="88" t="s">
        <v>83</v>
      </c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90"/>
    </row>
    <row r="27" spans="3:80" ht="9.75" customHeight="1" thickBot="1">
      <c r="C27" s="91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3"/>
      <c r="AO27" s="13"/>
      <c r="AP27" s="13"/>
      <c r="AQ27" s="91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3"/>
    </row>
    <row r="28" spans="3:80" ht="9.75" customHeight="1">
      <c r="C28" s="94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6"/>
      <c r="AQ28" s="94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6"/>
    </row>
    <row r="29" spans="3:80" ht="9.75" customHeight="1"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9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9"/>
    </row>
    <row r="30" spans="3:80" ht="9.75" customHeight="1"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9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9"/>
    </row>
    <row r="31" spans="3:80" ht="9.75" customHeight="1">
      <c r="C31" s="97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9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9"/>
    </row>
    <row r="32" spans="3:80" ht="9.75" customHeight="1"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9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9"/>
    </row>
    <row r="33" spans="3:80" ht="9.75" customHeight="1"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9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9"/>
    </row>
    <row r="34" spans="3:80" ht="9.75" customHeight="1">
      <c r="C34" s="97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9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9"/>
    </row>
    <row r="35" spans="3:80" ht="9.75" customHeight="1">
      <c r="C35" s="97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9"/>
      <c r="AQ35" s="97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9"/>
    </row>
    <row r="36" spans="3:80" ht="9.75" customHeight="1">
      <c r="C36" s="9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9"/>
      <c r="AQ36" s="97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9"/>
    </row>
    <row r="37" spans="3:80" ht="9.75" customHeight="1">
      <c r="C37" s="9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9"/>
      <c r="AQ37" s="97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9"/>
    </row>
    <row r="38" spans="3:80" ht="9.75" customHeight="1">
      <c r="C38" s="97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9"/>
      <c r="AQ38" s="97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9"/>
    </row>
    <row r="39" spans="3:80" ht="9.75" customHeight="1">
      <c r="C39" s="97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9"/>
      <c r="AQ39" s="97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9"/>
    </row>
    <row r="40" spans="3:80" ht="9.75" customHeight="1">
      <c r="C40" s="97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9"/>
      <c r="AQ40" s="97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9"/>
    </row>
    <row r="41" spans="3:80" ht="9.75" customHeight="1">
      <c r="C41" s="9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9"/>
      <c r="AQ41" s="97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9"/>
    </row>
    <row r="42" spans="3:80" ht="9.75" customHeight="1">
      <c r="C42" s="9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9"/>
      <c r="AQ42" s="97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9"/>
    </row>
    <row r="43" spans="3:80" ht="9.75" customHeight="1"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9"/>
      <c r="AQ43" s="97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9"/>
    </row>
    <row r="44" spans="3:80" ht="9.75" customHeight="1">
      <c r="C44" s="9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9"/>
      <c r="AQ44" s="97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9"/>
    </row>
    <row r="45" spans="3:80" ht="9.75" customHeight="1">
      <c r="C45" s="9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9"/>
      <c r="AQ45" s="97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9"/>
    </row>
    <row r="46" spans="3:80" ht="9.75" customHeight="1" thickBot="1">
      <c r="C46" s="100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2"/>
      <c r="AQ46" s="100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2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Menu</vt:lpstr>
      <vt:lpstr>Produtos</vt:lpstr>
      <vt:lpstr>Vendas</vt:lpstr>
      <vt:lpstr>Vendedores</vt:lpstr>
      <vt:lpstr>Consultas</vt:lpstr>
      <vt:lpstr>Cadastros Auxiliares</vt:lpstr>
      <vt:lpstr>Dados para Gráficos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2026-06-03T18:44:41Z</dcterms:modified>
</cp:coreProperties>
</file>