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Excel_Utilizando_tabelas_dinamicas_e_graficos_dinamicos\03_Graficos_dinamicos\db\"/>
    </mc:Choice>
  </mc:AlternateContent>
  <xr:revisionPtr revIDLastSave="0" documentId="13_ncr:1_{2C02BC8F-61F0-4138-9313-A96173315C74}" xr6:coauthVersionLast="47" xr6:coauthVersionMax="47" xr10:uidLastSave="{00000000-0000-0000-0000-000000000000}"/>
  <bookViews>
    <workbookView xWindow="-120" yWindow="-120" windowWidth="29040" windowHeight="15720" tabRatio="698" activeTab="9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DN_Produtos" sheetId="35" r:id="rId6"/>
    <sheet name="DN_Vendas" sheetId="37" r:id="rId7"/>
    <sheet name="Cadastros Auxiliares" sheetId="23" state="hidden" r:id="rId8"/>
    <sheet name="DN_Vendedores" sheetId="39" r:id="rId9"/>
    <sheet name="Dashboard" sheetId="18" r:id="rId10"/>
  </sheets>
  <definedNames>
    <definedName name="_xlnm._FilterDatabase" localSheetId="3" hidden="1">Vendas!$B$4:$E$86</definedName>
    <definedName name="_xlcn.WorksheetConnection_MeteoraEcommerce.xlsxTB_Produtos1" hidden="1">TB_Produtos[]</definedName>
    <definedName name="_xlcn.WorksheetConnection_MeteoraEcommerce.xlsxTB_Vendas1" hidden="1">TB_Vendas[]</definedName>
    <definedName name="_xlcn.WorksheetConnection_VendedoresA4D91" hidden="1">Vendedores!$A$4:$D$9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Categoria1">#N/A</definedName>
  </definedNames>
  <calcPr calcId="191029"/>
  <pivotCaches>
    <pivotCache cacheId="1" r:id="rId11"/>
    <pivotCache cacheId="168" r:id="rId12"/>
    <pivotCache cacheId="174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as" name="TB_Vendas" connection="WorksheetConnection_Meteora Ecommerce.xlsx!TB_Vendas"/>
          <x15:modelTable id="TB_Produtos" name="TB_Produtos" connection="WorksheetConnection_Meteora Ecommerce.xlsx!TB_Produtos"/>
          <x15:modelTable id="Intervalo" name="Intervalo" connection="WorksheetConnection_Vendedores!$A$4:$D$9"/>
        </x15:modelTables>
        <x15:modelRelationships>
          <x15:modelRelationship fromTable="TB_Vendas" fromColumn="Código" toTable="TB_Produtos" toColumn="Código"/>
          <x15:modelRelationship fromTable="TB_Vendas" fromColumn="Vendedor" toTable="Intervalo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18" l="1"/>
  <c r="AQ4" i="18"/>
  <c r="W4" i="18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C10" i="24"/>
  <c r="C9" i="24"/>
  <c r="C13" i="24" s="1"/>
  <c r="D5" i="16"/>
  <c r="G5" i="16" s="1"/>
  <c r="H5" i="16" s="1"/>
  <c r="D6" i="16"/>
  <c r="G6" i="16" s="1"/>
  <c r="H6" i="16" s="1"/>
  <c r="D7" i="16"/>
  <c r="G7" i="16" s="1"/>
  <c r="H7" i="16" s="1"/>
  <c r="D8" i="16"/>
  <c r="G8" i="16" s="1"/>
  <c r="H8" i="16" s="1"/>
  <c r="D9" i="16"/>
  <c r="G9" i="16" s="1"/>
  <c r="H9" i="16" s="1"/>
  <c r="D10" i="16"/>
  <c r="G10" i="16" s="1"/>
  <c r="H10" i="16" s="1"/>
  <c r="D11" i="16"/>
  <c r="G11" i="16" s="1"/>
  <c r="H11" i="16" s="1"/>
  <c r="D12" i="16"/>
  <c r="G12" i="16" s="1"/>
  <c r="H12" i="16" s="1"/>
  <c r="D13" i="16"/>
  <c r="G13" i="16" s="1"/>
  <c r="H13" i="16" s="1"/>
  <c r="D14" i="16"/>
  <c r="G14" i="16" s="1"/>
  <c r="H14" i="16" s="1"/>
  <c r="D15" i="16"/>
  <c r="G15" i="16" s="1"/>
  <c r="H15" i="16" s="1"/>
  <c r="D16" i="16"/>
  <c r="G16" i="16" s="1"/>
  <c r="H16" i="16" s="1"/>
  <c r="D17" i="16"/>
  <c r="G17" i="16" s="1"/>
  <c r="H17" i="16" s="1"/>
  <c r="D18" i="16"/>
  <c r="G18" i="16" s="1"/>
  <c r="H18" i="16" s="1"/>
  <c r="D19" i="16"/>
  <c r="G19" i="16" s="1"/>
  <c r="H19" i="16" s="1"/>
  <c r="D20" i="16"/>
  <c r="G20" i="16" s="1"/>
  <c r="H20" i="16" s="1"/>
  <c r="D21" i="16"/>
  <c r="G21" i="16" s="1"/>
  <c r="H21" i="16" s="1"/>
  <c r="D22" i="16"/>
  <c r="G22" i="16" s="1"/>
  <c r="H22" i="16" s="1"/>
  <c r="D23" i="16"/>
  <c r="G23" i="16" s="1"/>
  <c r="H23" i="16" s="1"/>
  <c r="D24" i="16"/>
  <c r="G24" i="16" s="1"/>
  <c r="H24" i="16" s="1"/>
  <c r="D25" i="16"/>
  <c r="G25" i="16" s="1"/>
  <c r="H25" i="16" s="1"/>
  <c r="D26" i="16"/>
  <c r="G26" i="16" s="1"/>
  <c r="H26" i="16" s="1"/>
  <c r="D27" i="16"/>
  <c r="G27" i="16" s="1"/>
  <c r="H27" i="16" s="1"/>
  <c r="D28" i="16"/>
  <c r="G28" i="16" s="1"/>
  <c r="H28" i="16" s="1"/>
  <c r="D29" i="16"/>
  <c r="G29" i="16" s="1"/>
  <c r="H29" i="16" s="1"/>
  <c r="D30" i="16"/>
  <c r="G30" i="16" s="1"/>
  <c r="H30" i="16" s="1"/>
  <c r="D31" i="16"/>
  <c r="G31" i="16" s="1"/>
  <c r="H31" i="16" s="1"/>
  <c r="D32" i="16"/>
  <c r="G32" i="16" s="1"/>
  <c r="H32" i="16" s="1"/>
  <c r="D33" i="16"/>
  <c r="G33" i="16" s="1"/>
  <c r="H33" i="16" s="1"/>
  <c r="D34" i="16"/>
  <c r="G34" i="16" s="1"/>
  <c r="H34" i="16" s="1"/>
  <c r="D35" i="16"/>
  <c r="G35" i="16" s="1"/>
  <c r="H35" i="16" s="1"/>
  <c r="D36" i="16"/>
  <c r="G36" i="16" s="1"/>
  <c r="H36" i="16" s="1"/>
  <c r="D37" i="16"/>
  <c r="G37" i="16" s="1"/>
  <c r="H37" i="16" s="1"/>
  <c r="D38" i="16"/>
  <c r="G38" i="16" s="1"/>
  <c r="H38" i="16" s="1"/>
  <c r="D39" i="16"/>
  <c r="G39" i="16" s="1"/>
  <c r="H39" i="16" s="1"/>
  <c r="D40" i="16"/>
  <c r="G40" i="16" s="1"/>
  <c r="H40" i="16" s="1"/>
  <c r="D41" i="16"/>
  <c r="G41" i="16" s="1"/>
  <c r="H41" i="16" s="1"/>
  <c r="D42" i="16"/>
  <c r="G42" i="16" s="1"/>
  <c r="H42" i="16" s="1"/>
  <c r="D43" i="16"/>
  <c r="G43" i="16" s="1"/>
  <c r="H43" i="16" s="1"/>
  <c r="D44" i="16"/>
  <c r="G44" i="16" s="1"/>
  <c r="H44" i="16" s="1"/>
  <c r="D45" i="16"/>
  <c r="G45" i="16" s="1"/>
  <c r="H45" i="16" s="1"/>
  <c r="D46" i="16"/>
  <c r="G46" i="16" s="1"/>
  <c r="H46" i="16" s="1"/>
  <c r="D47" i="16"/>
  <c r="G47" i="16" s="1"/>
  <c r="H47" i="16" s="1"/>
  <c r="D48" i="16"/>
  <c r="G48" i="16" s="1"/>
  <c r="H48" i="16" s="1"/>
  <c r="D49" i="16"/>
  <c r="G49" i="16" s="1"/>
  <c r="H49" i="16" s="1"/>
  <c r="D50" i="16"/>
  <c r="G50" i="16" s="1"/>
  <c r="H50" i="16" s="1"/>
  <c r="D51" i="16"/>
  <c r="G51" i="16" s="1"/>
  <c r="H51" i="16" s="1"/>
  <c r="D52" i="16"/>
  <c r="G52" i="16" s="1"/>
  <c r="H52" i="16" s="1"/>
  <c r="D53" i="16"/>
  <c r="G53" i="16" s="1"/>
  <c r="H53" i="16" s="1"/>
  <c r="D54" i="16"/>
  <c r="G54" i="16" s="1"/>
  <c r="H54" i="16" s="1"/>
  <c r="D55" i="16"/>
  <c r="G55" i="16" s="1"/>
  <c r="H55" i="16" s="1"/>
  <c r="D56" i="16"/>
  <c r="G56" i="16" s="1"/>
  <c r="H56" i="16" s="1"/>
  <c r="D57" i="16"/>
  <c r="G57" i="16" s="1"/>
  <c r="H57" i="16" s="1"/>
  <c r="D58" i="16"/>
  <c r="G58" i="16" s="1"/>
  <c r="H58" i="16" s="1"/>
  <c r="D59" i="16"/>
  <c r="G59" i="16" s="1"/>
  <c r="H59" i="16" s="1"/>
  <c r="D60" i="16"/>
  <c r="G60" i="16" s="1"/>
  <c r="H60" i="16" s="1"/>
  <c r="D61" i="16"/>
  <c r="G61" i="16" s="1"/>
  <c r="H61" i="16" s="1"/>
  <c r="D62" i="16"/>
  <c r="G62" i="16" s="1"/>
  <c r="H62" i="16" s="1"/>
  <c r="D63" i="16"/>
  <c r="G63" i="16" s="1"/>
  <c r="H63" i="16" s="1"/>
  <c r="D64" i="16"/>
  <c r="G64" i="16" s="1"/>
  <c r="H64" i="16" s="1"/>
  <c r="D65" i="16"/>
  <c r="G65" i="16" s="1"/>
  <c r="H65" i="16" s="1"/>
  <c r="D66" i="16"/>
  <c r="G66" i="16" s="1"/>
  <c r="H66" i="16" s="1"/>
  <c r="D67" i="16"/>
  <c r="G67" i="16" s="1"/>
  <c r="H67" i="16" s="1"/>
  <c r="D68" i="16"/>
  <c r="G68" i="16" s="1"/>
  <c r="H68" i="16" s="1"/>
  <c r="D69" i="16"/>
  <c r="G69" i="16" s="1"/>
  <c r="H69" i="16" s="1"/>
  <c r="D70" i="16"/>
  <c r="G70" i="16" s="1"/>
  <c r="H70" i="16" s="1"/>
  <c r="D71" i="16"/>
  <c r="G71" i="16" s="1"/>
  <c r="H71" i="16" s="1"/>
  <c r="D72" i="16"/>
  <c r="G72" i="16" s="1"/>
  <c r="H72" i="16" s="1"/>
  <c r="D73" i="16"/>
  <c r="G73" i="16" s="1"/>
  <c r="H73" i="16" s="1"/>
  <c r="D74" i="16"/>
  <c r="G74" i="16" s="1"/>
  <c r="H74" i="16" s="1"/>
  <c r="D75" i="16"/>
  <c r="G75" i="16" s="1"/>
  <c r="H75" i="16" s="1"/>
  <c r="D76" i="16"/>
  <c r="G76" i="16" s="1"/>
  <c r="H76" i="16" s="1"/>
  <c r="D77" i="16"/>
  <c r="G77" i="16" s="1"/>
  <c r="H77" i="16" s="1"/>
  <c r="D78" i="16"/>
  <c r="G78" i="16" s="1"/>
  <c r="H78" i="16" s="1"/>
  <c r="D79" i="16"/>
  <c r="G79" i="16" s="1"/>
  <c r="H79" i="16" s="1"/>
  <c r="D80" i="16"/>
  <c r="G80" i="16" s="1"/>
  <c r="H80" i="16" s="1"/>
  <c r="D81" i="16"/>
  <c r="G81" i="16" s="1"/>
  <c r="H81" i="16" s="1"/>
  <c r="D82" i="16"/>
  <c r="G82" i="16" s="1"/>
  <c r="H82" i="16" s="1"/>
  <c r="D83" i="16"/>
  <c r="G83" i="16" s="1"/>
  <c r="H83" i="16" s="1"/>
  <c r="D84" i="16"/>
  <c r="G84" i="16" s="1"/>
  <c r="H84" i="16" s="1"/>
  <c r="D85" i="16"/>
  <c r="G85" i="16" s="1"/>
  <c r="H85" i="16" s="1"/>
  <c r="D86" i="16"/>
  <c r="G86" i="16" s="1"/>
  <c r="H86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I43" i="16" a="1"/>
  <c r="I43" i="16" s="1"/>
  <c r="I44" i="16" a="1"/>
  <c r="I44" i="16" s="1"/>
  <c r="I45" i="16" a="1"/>
  <c r="I45" i="16" s="1"/>
  <c r="I46" i="16" a="1"/>
  <c r="I46" i="16" s="1"/>
  <c r="I47" i="16" a="1"/>
  <c r="I47" i="16" s="1"/>
  <c r="I48" i="16" a="1"/>
  <c r="I48" i="16" s="1"/>
  <c r="I49" i="16" a="1"/>
  <c r="I49" i="16" s="1"/>
  <c r="I50" i="16" a="1"/>
  <c r="I50" i="16" s="1"/>
  <c r="I51" i="16" a="1"/>
  <c r="I51" i="16" s="1"/>
  <c r="I52" i="16" a="1"/>
  <c r="I52" i="16" s="1"/>
  <c r="I53" i="16" a="1"/>
  <c r="I53" i="16" s="1"/>
  <c r="I54" i="16" a="1"/>
  <c r="I54" i="16" s="1"/>
  <c r="I55" i="16" a="1"/>
  <c r="I55" i="16" s="1"/>
  <c r="I56" i="16" a="1"/>
  <c r="I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I62" i="16" a="1"/>
  <c r="I62" i="16" s="1"/>
  <c r="I63" i="16" a="1"/>
  <c r="I63" i="16" s="1"/>
  <c r="I64" i="16" a="1"/>
  <c r="I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I70" i="16" a="1"/>
  <c r="I70" i="16" s="1"/>
  <c r="I71" i="16" a="1"/>
  <c r="I71" i="16" s="1"/>
  <c r="I72" i="16" a="1"/>
  <c r="I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I78" i="16" a="1"/>
  <c r="I78" i="16" s="1"/>
  <c r="I79" i="16" a="1"/>
  <c r="I79" i="16" s="1"/>
  <c r="I80" i="16" a="1"/>
  <c r="I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I86" i="16" a="1"/>
  <c r="I86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C11" i="24" a="1"/>
  <c r="C11" i="24" s="1"/>
  <c r="F7" i="24"/>
  <c r="C8" i="24" a="1"/>
  <c r="C8" i="24" s="1"/>
  <c r="C7" i="24"/>
  <c r="F9" i="24"/>
  <c r="C12" i="24" l="1" a="1"/>
  <c r="C12" i="24" s="1"/>
  <c r="K51" i="16"/>
  <c r="K39" i="16"/>
  <c r="K27" i="16"/>
  <c r="K15" i="16"/>
  <c r="K50" i="16"/>
  <c r="K38" i="16"/>
  <c r="K26" i="16"/>
  <c r="K14" i="16"/>
  <c r="K76" i="16"/>
  <c r="K64" i="16"/>
  <c r="K52" i="16"/>
  <c r="K40" i="16"/>
  <c r="K28" i="16"/>
  <c r="K16" i="16"/>
  <c r="K85" i="16"/>
  <c r="K73" i="16"/>
  <c r="K61" i="16"/>
  <c r="K49" i="16"/>
  <c r="K37" i="16"/>
  <c r="K25" i="16"/>
  <c r="K13" i="16"/>
  <c r="K86" i="16"/>
  <c r="K84" i="16"/>
  <c r="K72" i="16"/>
  <c r="K60" i="16"/>
  <c r="K48" i="16"/>
  <c r="K36" i="16"/>
  <c r="K24" i="16"/>
  <c r="K12" i="16"/>
  <c r="K83" i="16"/>
  <c r="K71" i="16"/>
  <c r="K59" i="16"/>
  <c r="K47" i="16"/>
  <c r="K35" i="16"/>
  <c r="K23" i="16"/>
  <c r="K11" i="16"/>
  <c r="K82" i="16"/>
  <c r="K70" i="16"/>
  <c r="K58" i="16"/>
  <c r="K46" i="16"/>
  <c r="K34" i="16"/>
  <c r="K22" i="16"/>
  <c r="K10" i="16"/>
  <c r="K81" i="16"/>
  <c r="K69" i="16"/>
  <c r="K57" i="16"/>
  <c r="K45" i="16"/>
  <c r="K33" i="16"/>
  <c r="K21" i="16"/>
  <c r="K9" i="16"/>
  <c r="K63" i="16"/>
  <c r="K80" i="16"/>
  <c r="K68" i="16"/>
  <c r="K56" i="16"/>
  <c r="K44" i="16"/>
  <c r="K32" i="16"/>
  <c r="K20" i="16"/>
  <c r="K8" i="16"/>
  <c r="K62" i="16"/>
  <c r="K79" i="16"/>
  <c r="K67" i="16"/>
  <c r="K55" i="16"/>
  <c r="K43" i="16"/>
  <c r="K31" i="16"/>
  <c r="K19" i="16"/>
  <c r="K7" i="16"/>
  <c r="K78" i="16"/>
  <c r="K66" i="16"/>
  <c r="K54" i="16"/>
  <c r="K42" i="16"/>
  <c r="K30" i="16"/>
  <c r="K18" i="16"/>
  <c r="K6" i="16"/>
  <c r="K75" i="16"/>
  <c r="K74" i="16"/>
  <c r="K77" i="16"/>
  <c r="K65" i="16"/>
  <c r="K53" i="16"/>
  <c r="K41" i="16"/>
  <c r="K29" i="16"/>
  <c r="K17" i="16"/>
  <c r="K5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L83" i="16" l="1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F8" i="24" s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B6EE56-FA1B-4065-B104-DD93E1FB667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DF8DDAA-0DB8-409C-8D37-0EEA7E195179}" name="WorksheetConnection_Meteora Ecommerce.xlsx!TB_Produtos" type="102" refreshedVersion="8" minRefreshableVersion="5">
    <extLst>
      <ext xmlns:x15="http://schemas.microsoft.com/office/spreadsheetml/2010/11/main" uri="{DE250136-89BD-433C-8126-D09CA5730AF9}">
        <x15:connection id="TB_Produtos" autoDelete="1">
          <x15:rangePr sourceName="_xlcn.WorksheetConnection_MeteoraEcommerce.xlsxTB_Produtos1"/>
        </x15:connection>
      </ext>
    </extLst>
  </connection>
  <connection id="3" xr16:uid="{C7E13675-7B1F-44E3-8864-3EB9FC65D6F9}" name="WorksheetConnection_Meteora Ecommerce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MeteoraEcommerce.xlsxTB_Vendas1"/>
        </x15:connection>
      </ext>
    </extLst>
  </connection>
  <connection id="4" xr16:uid="{024564F6-FEEF-4243-ADB1-354FD7948F83}" name="WorksheetConnection_Vendedores!$A$4:$D$9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VendedoresA4D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<sst xmlns="http://schemas.openxmlformats.org/spreadsheetml/2006/main" count="510" uniqueCount="175">
  <si>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</si>
  <si>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</si>
  <si>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</si>
  <si>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</si>
  <si>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</si>
  <si>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</si>
  <si>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</si>
  <si>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</si>
  <si>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</si>
  <si>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</si>
  <si>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</si>
  <si>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</si>
  <si>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</si>
  <si>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</si>
  <si>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</si>
  <si>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</si>
  <si>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</si>
  <si>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</si>
  <si>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</si>
  <si>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</si>
  <si>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</si>
  <si>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</si>
  <si>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</si>
  <si>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</si>
  <si>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</si>
  <si>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</si>
  <si>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</si>
  <si>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</si>
  <si>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</si>
  <si>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</si>
  <si>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</si>
  <si>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</si>
  <si>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</si>
  <si>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</si>
  <si>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</si>
  <si>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</si>
  <si>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</si>
  <si>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</si>
  <si>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</si>
  <si>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</si>
  <si>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</si>
  <si>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</si>
  <si>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</si>
  <si>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</si>
  <si>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</si>
  <si>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</si>
  <si>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</si>
  <si>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</si>
  <si>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</si>
  <si>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</si>
  <si>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</si>
  <si>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</si>
  <si>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</si>
  <si>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</si>
  <si>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</si>
  <si>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</si>
  <si>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</si>
  <si>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</si>
  <si>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</si>
  <si>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</si>
  <si>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</si>
  <si>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</si>
  <si>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</si>
  <si>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</si>
  <si>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</si>
  <si>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</si>
  <si>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</si>
  <si>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</si>
  <si>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</si>
  <si>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</si>
  <si>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</si>
  <si>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</si>
  <si>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</si>
  <si>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</si>
  <si>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</si>
  <si>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</si>
  <si>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</si>
  <si>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</si>
  <si>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</si>
  <si>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</si>
  <si>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</si>
  <si>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</si>
  <si>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</si>
  <si>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</si>
  <si>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</si>
  <si>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</si>
  <si>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</si>
  <si>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</si>
  <si>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</si>
  <si>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</si>
  <si>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</si>
  <si>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</si>
  <si>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</si>
  <si>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</si>
  <si>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</si>
  <si>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</si>
  <si>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</si>
  <si>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</si>
  <si>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</si>
  <si>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</si>
  <si>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</si>
  <si>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</si>
  <si>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</si>
  <si>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</si>
  <si>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</si>
  <si>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</si>
  <si>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</si>
  <si>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</si>
  <si>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</si>
  <si>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</si>
  <si>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</si>
  <si>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</si>
  <si>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</si>
  <si>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</si>
  <si>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</si>
  <si>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</si>
  <si>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</si>
  <si>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</si>
  <si>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</si>
  <si>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</si>
  <si>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</si>
  <si>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</si>
  <si>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</si>
  <si>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</si>
  <si>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</si>
  <si>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</si>
  <si>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</si>
  <si>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</si>
  <si>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</si>
  <si>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</si>
  <si>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</si>
  <si>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</si>
  <si>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</si>
  <si>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</si>
  <si>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</si>
  <si>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</si>
  <si>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</si>
  <si>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</si>
  <si>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</si>
  <si>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</si>
  <si>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</si>
  <si>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</si>
  <si>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</si>
  <si>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</si>
  <si>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</si>
  <si>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</si>
  <si>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</si>
  <si>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</si>
  <si>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</si>
  <si>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</si>
  <si>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</si>
  <si>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</si>
  <si>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</si>
  <si>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</si>
  <si>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</si>
  <si>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</si>
  <si>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</si>
  <si>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</si>
  <si>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</si>
  <si>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</si>
  <si>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</si>
  <si>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Total Geral</t>
  </si>
  <si>
    <t>Soma de Estoque</t>
  </si>
  <si>
    <t>Soma de Preço Unitário</t>
  </si>
  <si>
    <t>Soma de Qtd</t>
  </si>
  <si>
    <t>Contagem de Produtos</t>
  </si>
  <si>
    <t>jan</t>
  </si>
  <si>
    <t>fev</t>
  </si>
  <si>
    <t>mar</t>
  </si>
  <si>
    <t>abr</t>
  </si>
  <si>
    <t>mai</t>
  </si>
  <si>
    <t>jun</t>
  </si>
  <si>
    <t>jul</t>
  </si>
  <si>
    <t>ago</t>
  </si>
  <si>
    <t>Soma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</si>
</sst>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6" formatCode="&quot;R$&quot;\ #,##0.00"/>
  </numFmts>
  <fonts count="2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23" fillId="7" borderId="2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3" fillId="7" borderId="27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 wrapText="1"/>
    </xf>
    <xf numFmtId="0" fontId="14" fillId="2" borderId="28" xfId="3" applyFont="1" applyFill="1" applyBorder="1" applyAlignment="1">
      <alignment horizontal="center" vertical="center"/>
    </xf>
    <xf numFmtId="9" fontId="15" fillId="0" borderId="28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3" fillId="7" borderId="22" xfId="0" applyFont="1" applyFill="1" applyBorder="1" applyAlignment="1">
      <alignment horizontal="center"/>
    </xf>
    <xf numFmtId="0" fontId="16" fillId="2" borderId="25" xfId="3" applyFont="1" applyFill="1" applyBorder="1" applyAlignment="1">
      <alignment horizontal="right"/>
    </xf>
    <xf numFmtId="0" fontId="16" fillId="2" borderId="11" xfId="3" applyFont="1" applyFill="1" applyBorder="1" applyAlignment="1">
      <alignment horizontal="right"/>
    </xf>
    <xf numFmtId="0" fontId="16" fillId="2" borderId="26" xfId="3" applyFont="1" applyFill="1" applyBorder="1" applyAlignment="1">
      <alignment horizontal="right"/>
    </xf>
    <xf numFmtId="0" fontId="16" fillId="2" borderId="29" xfId="3" applyFont="1" applyFill="1" applyBorder="1" applyAlignment="1">
      <alignment horizontal="right"/>
    </xf>
    <xf numFmtId="14" fontId="23" fillId="7" borderId="22" xfId="0" applyNumberFormat="1" applyFont="1" applyFill="1" applyBorder="1" applyAlignment="1">
      <alignment horizontal="center"/>
    </xf>
    <xf numFmtId="165" fontId="23" fillId="7" borderId="2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0" borderId="0" xfId="0" applyFont="1"/>
    <xf numFmtId="0" fontId="14" fillId="2" borderId="8" xfId="3" applyFont="1" applyFill="1" applyBorder="1" applyAlignment="1">
      <alignment horizontal="center" vertical="center" wrapText="1"/>
    </xf>
    <xf numFmtId="0" fontId="14" fillId="2" borderId="30" xfId="3" applyFont="1" applyFill="1" applyBorder="1" applyAlignment="1">
      <alignment horizontal="center" vertical="center" wrapText="1"/>
    </xf>
    <xf numFmtId="0" fontId="15" fillId="0" borderId="28" xfId="5" applyNumberFormat="1" applyFont="1" applyBorder="1" applyAlignment="1">
      <alignment horizontal="center" vertical="center"/>
    </xf>
    <xf numFmtId="165" fontId="23" fillId="7" borderId="24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0" fillId="0" borderId="0" xfId="0" pivotButton="1"/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165" fontId="27" fillId="0" borderId="0" xfId="0" applyNumberFormat="1" applyFont="1"/>
    <xf numFmtId="0" fontId="27" fillId="0" borderId="0" xfId="0" applyFont="1" applyAlignment="1">
      <alignment horizontal="center"/>
    </xf>
    <xf numFmtId="165" fontId="0" fillId="7" borderId="23" xfId="0" applyNumberForma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0" fillId="0" borderId="0" xfId="0" applyNumberFormat="1"/>
    <xf numFmtId="166" fontId="0" fillId="0" borderId="0" xfId="0" applyNumberFormat="1"/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5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alignment horizontal="center"/>
    </dxf>
    <dxf>
      <numFmt numFmtId="165" formatCode="_-[$R$-416]\ * #,##0.00_-;\-[$R$-416]\ * #,##0.00_-;_-[$R$-416]\ * &quot;-&quot;??_-;_-@_-"/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2.xlsx]DN_Vendas!TBDN_Vendas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553926061717079E-2"/>
              <c:y val="-7.32600732600732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327222731439943E-3"/>
              <c:y val="-0.131868131868131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0999083409715947E-2"/>
              <c:y val="-0.153846153846153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2221203788573174E-3"/>
              <c:y val="-8.7912087912087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4442407577146795E-3"/>
              <c:y val="-0.10989010989010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663611365719525E-3"/>
              <c:y val="-0.197802197802197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6663611365719525E-3"/>
              <c:y val="-6.5934065934066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DN_Vendas!$B$3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DN_Vendas!$B$4:$B$12</c:f>
              <c:numCache>
                <c:formatCode>"R$"\ #,##0.00</c:formatCode>
                <c:ptCount val="8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  <c:pt idx="6">
                  <c:v>8602.0999999999985</c:v>
                </c:pt>
                <c:pt idx="7">
                  <c:v>6373.7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E-4F16-80F2-FBCFFE3CCF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1170719"/>
        <c:axId val="2071128479"/>
      </c:barChart>
      <c:lineChart>
        <c:grouping val="standard"/>
        <c:varyColors val="0"/>
        <c:ser>
          <c:idx val="1"/>
          <c:order val="1"/>
          <c:tx>
            <c:strRef>
              <c:f>DN_Vendas!$C$3</c:f>
              <c:strCache>
                <c:ptCount val="1"/>
                <c:pt idx="0">
                  <c:v>Soma de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6663611365719525E-3"/>
                  <c:y val="-6.5934065934066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3E-4F16-80F2-FBCFFE3CCFD5}"/>
                </c:ext>
              </c:extLst>
            </c:dLbl>
            <c:dLbl>
              <c:idx val="1"/>
              <c:layout>
                <c:manualLayout>
                  <c:x val="-3.6663611365719525E-3"/>
                  <c:y val="-0.197802197802197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F16-80F2-FBCFFE3CCFD5}"/>
                </c:ext>
              </c:extLst>
            </c:dLbl>
            <c:dLbl>
              <c:idx val="2"/>
              <c:layout>
                <c:manualLayout>
                  <c:x val="-2.4442407577146795E-3"/>
                  <c:y val="-0.109890109890109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3E-4F16-80F2-FBCFFE3CCFD5}"/>
                </c:ext>
              </c:extLst>
            </c:dLbl>
            <c:dLbl>
              <c:idx val="3"/>
              <c:layout>
                <c:manualLayout>
                  <c:x val="-1.2221203788573174E-3"/>
                  <c:y val="-8.7912087912087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F16-80F2-FBCFFE3CCFD5}"/>
                </c:ext>
              </c:extLst>
            </c:dLbl>
            <c:dLbl>
              <c:idx val="4"/>
              <c:layout>
                <c:manualLayout>
                  <c:x val="-1.0999083409715947E-2"/>
                  <c:y val="-0.153846153846153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3E-4F16-80F2-FBCFFE3CCFD5}"/>
                </c:ext>
              </c:extLst>
            </c:dLbl>
            <c:dLbl>
              <c:idx val="5"/>
              <c:layout>
                <c:manualLayout>
                  <c:x val="-7.3327222731439943E-3"/>
                  <c:y val="-0.131868131868131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F16-80F2-FBCFFE3CCFD5}"/>
                </c:ext>
              </c:extLst>
            </c:dLbl>
            <c:dLbl>
              <c:idx val="6"/>
              <c:layout>
                <c:manualLayout>
                  <c:x val="-1.9553926061717079E-2"/>
                  <c:y val="-7.3260073260073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F16-80F2-FBCFFE3CCF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DN_Vendas!$C$4:$C$12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  <c:pt idx="6">
                  <c:v>53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E-4F16-80F2-FBCFFE3CCF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1133759"/>
        <c:axId val="2071116959"/>
      </c:lineChart>
      <c:catAx>
        <c:axId val="20711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128479"/>
        <c:crosses val="autoZero"/>
        <c:auto val="1"/>
        <c:lblAlgn val="ctr"/>
        <c:lblOffset val="100"/>
        <c:noMultiLvlLbl val="0"/>
      </c:catAx>
      <c:valAx>
        <c:axId val="20711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170719"/>
        <c:crosses val="autoZero"/>
        <c:crossBetween val="between"/>
      </c:valAx>
      <c:valAx>
        <c:axId val="20711169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1133759"/>
        <c:crosses val="max"/>
        <c:crossBetween val="between"/>
      </c:valAx>
      <c:catAx>
        <c:axId val="2071133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1116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2.xlsx]DN_Vendedores!TBDN_Vendedores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DN_Vendedores!$B$3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DN_Vendedores!$A$4:$A$9</c:f>
              <c:strCache>
                <c:ptCount val="5"/>
                <c:pt idx="0">
                  <c:v>Amanda</c:v>
                </c:pt>
                <c:pt idx="1">
                  <c:v>Bruno</c:v>
                </c:pt>
                <c:pt idx="2">
                  <c:v>Clara</c:v>
                </c:pt>
                <c:pt idx="3">
                  <c:v>João</c:v>
                </c:pt>
                <c:pt idx="4">
                  <c:v>Sarah</c:v>
                </c:pt>
              </c:strCache>
            </c:strRef>
          </c:cat>
          <c:val>
            <c:numRef>
              <c:f>DN_Vendedores!$B$4:$B$9</c:f>
              <c:numCache>
                <c:formatCode>"R$"\ #,##0.00</c:formatCode>
                <c:ptCount val="5"/>
                <c:pt idx="0">
                  <c:v>6811.2</c:v>
                </c:pt>
                <c:pt idx="1">
                  <c:v>6552.6</c:v>
                </c:pt>
                <c:pt idx="2">
                  <c:v>3259.7000000000003</c:v>
                </c:pt>
                <c:pt idx="3">
                  <c:v>8601.5999999999985</c:v>
                </c:pt>
                <c:pt idx="4">
                  <c:v>8079.7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E-477B-AC2E-B283B7B5A0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8571023"/>
        <c:axId val="1698571983"/>
      </c:barChart>
      <c:catAx>
        <c:axId val="169857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8571983"/>
        <c:crosses val="autoZero"/>
        <c:auto val="1"/>
        <c:lblAlgn val="ctr"/>
        <c:lblOffset val="100"/>
        <c:noMultiLvlLbl val="0"/>
      </c:catAx>
      <c:valAx>
        <c:axId val="1698571983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6985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192405</xdr:colOff>
      <xdr:row>0</xdr:row>
      <xdr:rowOff>57150</xdr:rowOff>
    </xdr:from>
    <xdr:to>
      <xdr:col>2</xdr:col>
      <xdr:colOff>578484</xdr:colOff>
      <xdr:row>0</xdr:row>
      <xdr:rowOff>443229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" y="5715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123824</xdr:colOff>
      <xdr:row>0</xdr:row>
      <xdr:rowOff>85725</xdr:rowOff>
    </xdr:from>
    <xdr:to>
      <xdr:col>9</xdr:col>
      <xdr:colOff>812482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609600</xdr:colOff>
      <xdr:row>0</xdr:row>
      <xdr:rowOff>85725</xdr:rowOff>
    </xdr:from>
    <xdr:to>
      <xdr:col>8</xdr:col>
      <xdr:colOff>521970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412751</xdr:colOff>
      <xdr:row>0</xdr:row>
      <xdr:rowOff>85725</xdr:rowOff>
    </xdr:from>
    <xdr:to>
      <xdr:col>7</xdr:col>
      <xdr:colOff>517208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587375</xdr:colOff>
      <xdr:row>0</xdr:row>
      <xdr:rowOff>85725</xdr:rowOff>
    </xdr:from>
    <xdr:to>
      <xdr:col>6</xdr:col>
      <xdr:colOff>320358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104774</xdr:rowOff>
    </xdr:from>
    <xdr:to>
      <xdr:col>2</xdr:col>
      <xdr:colOff>752475</xdr:colOff>
      <xdr:row>1</xdr:row>
      <xdr:rowOff>866774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 1">
              <a:extLst>
                <a:ext uri="{FF2B5EF4-FFF2-40B4-BE49-F238E27FC236}">
                  <a16:creationId xmlns:a16="http://schemas.microsoft.com/office/drawing/2014/main" id="{8B3096F1-0C3D-DBCC-2744-8B036B5C97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04774"/>
              <a:ext cx="3724276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6569</xdr:colOff>
      <xdr:row>9</xdr:row>
      <xdr:rowOff>124810</xdr:rowOff>
    </xdr:from>
    <xdr:to>
      <xdr:col>79</xdr:col>
      <xdr:colOff>118241</xdr:colOff>
      <xdr:row>23</xdr:row>
      <xdr:rowOff>111672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4D9E12-D8B0-09C0-CFC2-5F8153B10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7881</xdr:colOff>
      <xdr:row>26</xdr:row>
      <xdr:rowOff>118076</xdr:rowOff>
    </xdr:from>
    <xdr:to>
      <xdr:col>79</xdr:col>
      <xdr:colOff>124809</xdr:colOff>
      <xdr:row>46</xdr:row>
      <xdr:rowOff>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7C547A5B-2429-A439-C5E4-69D8C83D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168.766250231478" createdVersion="8" refreshedVersion="8" minRefreshableVersion="3" recordCount="60" xr:uid="{7AB96658-ECC6-4382-87EF-AC22B432EE5C}">
  <cacheSource type="worksheet">
    <worksheetSource name="TB_Produtos"/>
  </cacheSource>
  <cacheFields count="6">
    <cacheField name="Código" numFmtId="0">
      <sharedItems/>
    </cacheField>
    <cacheField name="Produtos" numFmtId="0">
      <sharedItems count="26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  <s v="Produto Novo" u="1"/>
      </sharedItems>
    </cacheField>
    <cacheField name="Tamanho" numFmtId="0">
      <sharedItems containsMixedTypes="1" containsNumber="1" containsInteger="1" minValue="35" maxValue="38"/>
    </cacheField>
    <cacheField name="Categoria" numFmtId="0">
      <sharedItems count="4">
        <s v="Vestuário"/>
        <s v="Acessórios"/>
        <s v="Calçado"/>
        <s v="Categoria Nova" u="1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/>
    </cacheField>
  </cacheFields>
  <extLst>
    <ext xmlns:x14="http://schemas.microsoft.com/office/spreadsheetml/2009/9/main" uri="{725AE2AE-9491-48be-B2B4-4EB974FC3084}">
      <x14:pivotCacheDefinition pivotCacheId="18884865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85607465278" backgroundQuery="1" createdVersion="8" refreshedVersion="8" minRefreshableVersion="3" recordCount="0" supportSubquery="1" supportAdvancedDrill="1" xr:uid="{0E9C5593-B01E-4C8F-AFAD-4007B27D76B7}">
  <cacheSource type="external" connectionId="1"/>
  <cacheFields count="3">
    <cacheField name="[TB_Vendas].[Data (Mês)].[Data (Mês)]" caption="Data (Mês)" numFmtId="0" hierarchy="24" level="1">
      <sharedItems count="8">
        <s v="jan"/>
        <s v="fev"/>
        <s v="mar"/>
        <s v="abr"/>
        <s v="mai"/>
        <s v="jun"/>
        <s v="jul"/>
        <s v="ago"/>
      </sharedItems>
    </cacheField>
    <cacheField name="[Measures].[Soma de Total]" caption="Soma de Total" numFmtId="0" hierarchy="31" level="32767"/>
    <cacheField name="[Measures].[Soma de Qtd]" caption="Soma de Qtd" numFmtId="0" hierarchy="30" level="32767"/>
  </cacheFields>
  <cacheHierarchies count="33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Mês]" caption="Mês" attribute="1" defaultMemberUniqueName="[TB_Vendas].[Mês].[All]" allUniqueName="[TB_Vendas].[Mês].[All]" dimensionUniqueName="[TB_Vendas]" displayFolder="" count="0" memberValueDatatype="13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édia de Qtd]" caption="Médi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</dimensions>
  <measureGroups count="3">
    <measureGroup name="Intervalo" caption="Intervalo"/>
    <measureGroup name="TB_Produtos" caption="TB_Produtos"/>
    <measureGroup name="TB_Vendas" caption="TB_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856372916664" backgroundQuery="1" createdVersion="8" refreshedVersion="8" minRefreshableVersion="3" recordCount="0" supportSubquery="1" supportAdvancedDrill="1" xr:uid="{2CE723A7-CCE3-43EA-9A7E-0F471012561D}">
  <cacheSource type="external" connectionId="1"/>
  <cacheFields count="2">
    <cacheField name="[Measures].[Soma de Total]" caption="Soma de Total" numFmtId="0" hierarchy="31" level="32767"/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</cacheFields>
  <cacheHierarchies count="33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Mês]" caption="Mês" attribute="1" defaultMemberUniqueName="[TB_Vendas].[Mês].[All]" allUniqueName="[TB_Vendas].[Mês].[All]" dimensionUniqueName="[TB_Vendas]" displayFolder="" count="0" memberValueDatatype="13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Qtd]" caption="Som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otal]" caption="Soma de Total" measure="1" displayFolder="" measureGroup="TB_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édia de Qtd]" caption="Média de Qtd" measure="1" displayFolder="" measureGroup="TB_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</dimensions>
  <measureGroups count="3">
    <measureGroup name="Intervalo" caption="Intervalo"/>
    <measureGroup name="TB_Produtos" caption="TB_Produtos"/>
    <measureGroup name="TB_Vendas" caption="TB_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001"/>
    <x v="0"/>
    <s v="P"/>
    <x v="0"/>
    <n v="48"/>
    <n v="65.900000000000006"/>
  </r>
  <r>
    <s v="PR002"/>
    <x v="0"/>
    <s v="M"/>
    <x v="0"/>
    <n v="17"/>
    <n v="69.900000000000006"/>
  </r>
  <r>
    <s v="PR003"/>
    <x v="0"/>
    <s v="G"/>
    <x v="0"/>
    <n v="25"/>
    <n v="70.900000000000006"/>
  </r>
  <r>
    <s v="PR004"/>
    <x v="1"/>
    <s v="Único"/>
    <x v="1"/>
    <n v="36"/>
    <n v="145"/>
  </r>
  <r>
    <s v="PR005"/>
    <x v="2"/>
    <s v="Único"/>
    <x v="1"/>
    <n v="21"/>
    <n v="259.89999999999998"/>
  </r>
  <r>
    <s v="PR006"/>
    <x v="3"/>
    <s v="Único"/>
    <x v="1"/>
    <n v="23"/>
    <n v="39.9"/>
  </r>
  <r>
    <s v="PR007"/>
    <x v="4"/>
    <s v="P"/>
    <x v="0"/>
    <n v="24"/>
    <n v="85.9"/>
  </r>
  <r>
    <s v="PR008"/>
    <x v="4"/>
    <s v="M"/>
    <x v="0"/>
    <n v="35"/>
    <n v="89.9"/>
  </r>
  <r>
    <s v="PR009"/>
    <x v="4"/>
    <s v="G"/>
    <x v="0"/>
    <n v="47"/>
    <n v="92.9"/>
  </r>
  <r>
    <s v="PR010"/>
    <x v="5"/>
    <s v="P"/>
    <x v="0"/>
    <n v="42"/>
    <n v="44.9"/>
  </r>
  <r>
    <s v="PR011"/>
    <x v="5"/>
    <s v="M"/>
    <x v="0"/>
    <n v="32"/>
    <n v="46.9"/>
  </r>
  <r>
    <s v="PR012"/>
    <x v="5"/>
    <s v="G"/>
    <x v="0"/>
    <n v="45"/>
    <n v="48.9"/>
  </r>
  <r>
    <s v="PR013"/>
    <x v="6"/>
    <s v="P"/>
    <x v="0"/>
    <n v="19"/>
    <n v="39.9"/>
  </r>
  <r>
    <s v="PR014"/>
    <x v="6"/>
    <s v="M"/>
    <x v="0"/>
    <n v="37"/>
    <n v="39.9"/>
  </r>
  <r>
    <s v="PR015"/>
    <x v="6"/>
    <s v="G"/>
    <x v="0"/>
    <n v="16"/>
    <n v="42.5"/>
  </r>
  <r>
    <s v="PR016"/>
    <x v="7"/>
    <s v="P"/>
    <x v="0"/>
    <n v="43"/>
    <n v="25.9"/>
  </r>
  <r>
    <s v="PR017"/>
    <x v="8"/>
    <s v="M"/>
    <x v="0"/>
    <n v="46"/>
    <n v="29.9"/>
  </r>
  <r>
    <s v="PR018"/>
    <x v="8"/>
    <s v="G"/>
    <x v="0"/>
    <n v="0"/>
    <n v="32.9"/>
  </r>
  <r>
    <s v="PR019"/>
    <x v="9"/>
    <s v="Único"/>
    <x v="1"/>
    <n v="2"/>
    <n v="49.9"/>
  </r>
  <r>
    <s v="PR020"/>
    <x v="10"/>
    <s v="P"/>
    <x v="0"/>
    <n v="34"/>
    <n v="299.89999999999998"/>
  </r>
  <r>
    <s v="PR021"/>
    <x v="10"/>
    <s v="M"/>
    <x v="0"/>
    <n v="34"/>
    <n v="302.89999999999998"/>
  </r>
  <r>
    <s v="PR022"/>
    <x v="10"/>
    <s v="G"/>
    <x v="0"/>
    <n v="35"/>
    <n v="300"/>
  </r>
  <r>
    <s v="PR023"/>
    <x v="11"/>
    <s v="P"/>
    <x v="0"/>
    <n v="49"/>
    <n v="249.9"/>
  </r>
  <r>
    <s v="PR024"/>
    <x v="11"/>
    <s v="M"/>
    <x v="0"/>
    <n v="16"/>
    <n v="259.89999999999998"/>
  </r>
  <r>
    <s v="PR025"/>
    <x v="11"/>
    <s v="G"/>
    <x v="0"/>
    <n v="41"/>
    <n v="299.89999999999998"/>
  </r>
  <r>
    <s v="PR026"/>
    <x v="12"/>
    <s v="Único"/>
    <x v="1"/>
    <n v="32"/>
    <n v="349.9"/>
  </r>
  <r>
    <s v="PR027"/>
    <x v="13"/>
    <s v="Único"/>
    <x v="1"/>
    <n v="45"/>
    <n v="120"/>
  </r>
  <r>
    <s v="PR028"/>
    <x v="14"/>
    <n v="36"/>
    <x v="2"/>
    <n v="37"/>
    <n v="249.9"/>
  </r>
  <r>
    <s v="PR029"/>
    <x v="14"/>
    <n v="37"/>
    <x v="2"/>
    <n v="41"/>
    <n v="255"/>
  </r>
  <r>
    <s v="PR030"/>
    <x v="14"/>
    <n v="38"/>
    <x v="2"/>
    <n v="30"/>
    <n v="259.89999999999998"/>
  </r>
  <r>
    <s v="PR031"/>
    <x v="15"/>
    <n v="36"/>
    <x v="2"/>
    <n v="27"/>
    <n v="245"/>
  </r>
  <r>
    <s v="PR032"/>
    <x v="15"/>
    <n v="37"/>
    <x v="2"/>
    <n v="41"/>
    <n v="250"/>
  </r>
  <r>
    <s v="PR033"/>
    <x v="15"/>
    <n v="38"/>
    <x v="2"/>
    <n v="43"/>
    <n v="259.89999999999998"/>
  </r>
  <r>
    <s v="PR034"/>
    <x v="16"/>
    <s v="P"/>
    <x v="0"/>
    <n v="43"/>
    <n v="89.9"/>
  </r>
  <r>
    <s v="PR035"/>
    <x v="16"/>
    <s v="M"/>
    <x v="0"/>
    <n v="18"/>
    <n v="91.4"/>
  </r>
  <r>
    <s v="PR036"/>
    <x v="16"/>
    <s v="G"/>
    <x v="0"/>
    <n v="45"/>
    <n v="93.5"/>
  </r>
  <r>
    <s v="PR037"/>
    <x v="17"/>
    <s v="P"/>
    <x v="0"/>
    <n v="34"/>
    <n v="140"/>
  </r>
  <r>
    <s v="PR038"/>
    <x v="17"/>
    <s v="M"/>
    <x v="0"/>
    <n v="47"/>
    <n v="142.9"/>
  </r>
  <r>
    <s v="PR039"/>
    <x v="17"/>
    <s v="G"/>
    <x v="0"/>
    <n v="50"/>
    <n v="146"/>
  </r>
  <r>
    <s v="PR040"/>
    <x v="18"/>
    <s v="P"/>
    <x v="0"/>
    <n v="16"/>
    <n v="70"/>
  </r>
  <r>
    <s v="PR041"/>
    <x v="18"/>
    <s v="M"/>
    <x v="0"/>
    <n v="21"/>
    <n v="54.9"/>
  </r>
  <r>
    <s v="PR042"/>
    <x v="18"/>
    <s v="G"/>
    <x v="0"/>
    <n v="43"/>
    <n v="54.9"/>
  </r>
  <r>
    <s v="PR043"/>
    <x v="19"/>
    <s v="P"/>
    <x v="0"/>
    <n v="43"/>
    <n v="72.5"/>
  </r>
  <r>
    <s v="PR044"/>
    <x v="19"/>
    <s v="M"/>
    <x v="0"/>
    <n v="41"/>
    <n v="72.5"/>
  </r>
  <r>
    <s v="PR045"/>
    <x v="19"/>
    <s v="G"/>
    <x v="0"/>
    <n v="49"/>
    <n v="72.5"/>
  </r>
  <r>
    <s v="PR046"/>
    <x v="20"/>
    <s v="P"/>
    <x v="0"/>
    <n v="15"/>
    <n v="289.89999999999998"/>
  </r>
  <r>
    <s v="PR047"/>
    <x v="20"/>
    <s v="M"/>
    <x v="0"/>
    <n v="10"/>
    <n v="289.89999999999998"/>
  </r>
  <r>
    <s v="PR048"/>
    <x v="20"/>
    <s v="G"/>
    <x v="0"/>
    <n v="21"/>
    <n v="289.89999999999998"/>
  </r>
  <r>
    <s v="PR049"/>
    <x v="21"/>
    <s v="P"/>
    <x v="0"/>
    <n v="8"/>
    <n v="32.9"/>
  </r>
  <r>
    <s v="PR050"/>
    <x v="21"/>
    <s v="M"/>
    <x v="0"/>
    <n v="42"/>
    <n v="32.9"/>
  </r>
  <r>
    <s v="PR051"/>
    <x v="21"/>
    <s v="G"/>
    <x v="0"/>
    <n v="48"/>
    <n v="32.9"/>
  </r>
  <r>
    <s v="PR052"/>
    <x v="22"/>
    <s v="P"/>
    <x v="0"/>
    <n v="35"/>
    <n v="49.9"/>
  </r>
  <r>
    <s v="PR053"/>
    <x v="22"/>
    <s v="M"/>
    <x v="0"/>
    <n v="40"/>
    <n v="49.9"/>
  </r>
  <r>
    <s v="PR054"/>
    <x v="22"/>
    <s v="G"/>
    <x v="0"/>
    <n v="18"/>
    <n v="49.9"/>
  </r>
  <r>
    <s v="PR055"/>
    <x v="23"/>
    <n v="35"/>
    <x v="2"/>
    <n v="48"/>
    <n v="89.9"/>
  </r>
  <r>
    <s v="PR056"/>
    <x v="23"/>
    <n v="36"/>
    <x v="2"/>
    <n v="38"/>
    <n v="89.9"/>
  </r>
  <r>
    <s v="PR057"/>
    <x v="23"/>
    <n v="37"/>
    <x v="2"/>
    <n v="45"/>
    <n v="89.9"/>
  </r>
  <r>
    <s v="PR058"/>
    <x v="24"/>
    <s v="P"/>
    <x v="0"/>
    <n v="40"/>
    <n v="180"/>
  </r>
  <r>
    <s v="PR059"/>
    <x v="24"/>
    <s v="M"/>
    <x v="0"/>
    <n v="35"/>
    <n v="180"/>
  </r>
  <r>
    <s v="PR060"/>
    <x v="24"/>
    <s v="G"/>
    <x v="0"/>
    <n v="3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F4437-D742-4009-A878-93CE27DC09FF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dataField="1"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dut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AC2DB-9D34-4C73-9C17-69E49E83318C}" name="TBDN_Produtos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C7" firstHeaderRow="0" firstDataRow="1" firstDataCol="1"/>
  <pivotFields count="6">
    <pivotField showAll="0"/>
    <pivotField axis="axisRow" showAll="0">
      <items count="27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m="1" x="25"/>
        <item t="default"/>
      </items>
    </pivotField>
    <pivotField showAll="0"/>
    <pivotField axis="axisRow" showAll="0">
      <items count="5">
        <item sd="0" x="0"/>
        <item sd="0" x="1"/>
        <item sd="0" x="2"/>
        <item sd="0" m="1" x="3"/>
        <item t="default"/>
      </items>
    </pivotField>
    <pivotField dataField="1" showAll="0"/>
    <pivotField dataField="1" showAll="0"/>
  </pivotFields>
  <rowFields count="2">
    <field x="3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165"/>
  </dataFields>
  <formats count="4">
    <format dxfId="24">
      <pivotArea collapsedLevelsAreSubtotals="1" fieldPosition="0">
        <references count="1">
          <reference field="3" count="0"/>
        </references>
      </pivotArea>
    </format>
    <format dxfId="23">
      <pivotArea dataOnly="0" labelOnly="1" fieldPosition="0">
        <references count="1">
          <reference field="3" count="0"/>
        </references>
      </pivotArea>
    </format>
    <format dxfId="22">
      <pivotArea outline="0" fieldPosition="0">
        <references count="1">
          <reference field="4294967294" count="1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60B4-2C19-4088-9834-1C848FA891D0}" name="TBDN_Vendas" cacheId="168" applyNumberFormats="0" applyBorderFormats="0" applyFontFormats="0" applyPatternFormats="0" applyAlignmentFormats="0" applyWidthHeightFormats="1" dataCaption="Valores" tag="bc3dc771-d3ba-40d4-8642-502c32103ea2" updatedVersion="8" minRefreshableVersion="3" useAutoFormatting="1" subtotalHiddenItems="1" itemPrintTitles="1" createdVersion="8" indent="0" outline="1" outlineData="1" multipleFieldFilters="0" chartFormat="6">
  <location ref="A3:C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1" baseField="0" baseItem="0" numFmtId="166"/>
    <dataField name="Soma de Qtd" fld="2" baseField="0" baseItem="0"/>
  </dataField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oma de Qtd"/>
    <pivotHierarchy dragToData="1"/>
    <pivotHierarchy dragToData="1" caption="Média de Qtd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3E4CD-2FF8-4AFF-A72F-474104FD86B5}" name="TBDN_Vendedores" cacheId="174" applyNumberFormats="0" applyBorderFormats="0" applyFontFormats="0" applyPatternFormats="0" applyAlignmentFormats="0" applyWidthHeightFormats="1" dataCaption="Valores" tag="9792b7f9-3703-4014-b945-ff5e4f5b212c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" fld="0" baseField="1" baseItem="2" numFmtId="166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4E26E9F-7892-4ED2-B74F-11910F4F3CC5}" sourceName="Categoria">
  <pivotTables>
    <pivotTable tabId="35" name="TBDN_Produtos"/>
    <pivotTable tabId="35" name="Tabela dinâmica3"/>
  </pivotTables>
  <data>
    <tabular pivotCacheId="188848658">
      <items count="4">
        <i x="0" s="1"/>
        <i x="1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6404326A-D211-4EA3-8165-FC1463C7F321}" cache="SegmentaçãodeDados_Categoria1" caption="Categoria" columnCount="3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0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19"/>
    <tableColumn id="2" xr3:uid="{E100D4E2-C3A0-43FF-A1D9-90A4BC2A9918}" name="Produtos"/>
    <tableColumn id="3" xr3:uid="{2EF7FEE0-6B6F-4534-86A0-46B6555B7BEF}" name="Tamanho" dataDxfId="18"/>
    <tableColumn id="4" xr3:uid="{4435A4B8-E7F0-4D66-A4F8-6A9FEAA36D5A}" name="Categoria"/>
    <tableColumn id="6" xr3:uid="{15F9CACC-A558-4A20-80CF-C2ADA2603221}" name="Estoque" dataDxfId="17"/>
    <tableColumn id="5" xr3:uid="{CA8AD0DE-58EC-4839-85FB-1DD75DA28087}" name="Preço Unitário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15" dataDxfId="14" headerRowCellStyle="Cabeçalho Meteora">
  <autoFilter ref="A4:M86" xr:uid="{AD739091-30BD-4C30-BDDA-7504C0C4B6E2}"/>
  <tableColumns count="13">
    <tableColumn id="7" xr3:uid="{5E8DE7C3-CDB6-4314-A5CC-C44D3C21973F}" name="Nº" dataDxfId="13">
      <calculatedColumnFormula>MONTH(TB_Vendas[[#This Row],[Data]])</calculatedColumnFormula>
    </tableColumn>
    <tableColumn id="1" xr3:uid="{43632F1F-6978-4CE7-BB13-7CCE587D6821}" name="Data" dataDxfId="12"/>
    <tableColumn id="12" xr3:uid="{205A55AB-454E-4288-AE23-042C3C399E7A}" name="Código" dataDxfId="11"/>
    <tableColumn id="16" xr3:uid="{059789B1-50A2-47F3-849D-D1EE26B94731}" name="Categoria" dataDxfId="10">
      <calculatedColumnFormula>_xlfn.XLOOKUP(TB_Vendas[[#This Row],[Código]],TB_Produtos[Código],TB_Produtos[Categoria])</calculatedColumnFormula>
    </tableColumn>
    <tableColumn id="5" xr3:uid="{7DC2ADED-AF8A-4BC8-A38E-FEF676FE49C9}" name="Qtd" dataDxfId="9"/>
    <tableColumn id="9" xr3:uid="{05B7315B-2774-41BC-AFEC-4A19E452D6C7}" name="Preço Unitário" dataDxfId="8">
      <calculatedColumnFormula>VLOOKUP(TB_Vendas[[#This Row],[Código]],Produtos!$B$6:$G$66,6,0)</calculatedColumnFormula>
    </tableColumn>
    <tableColumn id="18" xr3:uid="{152BED38-8D5F-4FAA-8C38-58740E2353E5}" name="Indice" dataDxfId="7">
      <calculatedColumnFormula>_xlfn.XMATCH(TB_Vendas[[#This Row],[Categoria]],Desc_Categorias,0)</calculatedColumnFormula>
    </tableColumn>
    <tableColumn id="17" xr3:uid="{C4E78734-94D7-4D31-B07D-5609B855AC0F}" name="Desconto _x000a_(Passo a Passo)" dataDxfId="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2">
      <calculatedColumnFormula>TB_Vendas[[#This Row],[Preço Unitário]]*TB_Vendas[[#This Row],[Qtd]]</calculatedColumnFormula>
    </tableColumn>
    <tableColumn id="8" xr3:uid="{192FEBCA-1287-48A6-9BE6-69528F71C305}" name="Vendedo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5" zeroHeight="1"/>
  <cols>
    <col min="1" max="12" width="8.85546875" customWidth="1"/>
    <col min="13" max="16384" width="8.85546875" hidden="1"/>
  </cols>
  <sheetData>
    <row r="1" spans="1:12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12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2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pane ySplit="1" topLeftCell="A60" activePane="bottomLeft" state="frozen"/>
      <selection pane="bottomLeft" activeCell="C66" sqref="C66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13" customFormat="1" ht="40.15" customHeight="1">
      <c r="A1" s="16"/>
      <c r="B1" s="20" t="s">
        <v>120</v>
      </c>
      <c r="C1" s="20"/>
      <c r="D1" s="20"/>
      <c r="E1" s="20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4.9000000000000004" customHeight="1">
      <c r="A5" s="15"/>
      <c r="B5" s="15"/>
      <c r="C5" s="15"/>
      <c r="D5" s="15"/>
      <c r="E5" s="15"/>
      <c r="F5" s="15"/>
    </row>
    <row r="6" spans="1:9" s="1" customFormat="1" ht="18.75">
      <c r="B6" s="9" t="s">
        <v>30</v>
      </c>
      <c r="C6" s="9" t="s">
        <v>0</v>
      </c>
      <c r="D6" s="9" t="s">
        <v>1</v>
      </c>
      <c r="E6" s="9" t="s">
        <v>10</v>
      </c>
      <c r="F6" s="9" t="s">
        <v>75</v>
      </c>
      <c r="G6" s="9" t="s">
        <v>11</v>
      </c>
      <c r="H6" s="9"/>
    </row>
    <row r="7" spans="1:9">
      <c r="B7" s="1" t="s">
        <v>31</v>
      </c>
      <c r="C7" t="s">
        <v>5</v>
      </c>
      <c r="D7" s="1" t="s">
        <v>2</v>
      </c>
      <c r="E7" t="s">
        <v>12</v>
      </c>
      <c r="F7" s="1">
        <v>48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t="s">
        <v>12</v>
      </c>
      <c r="F8" s="1">
        <v>17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t="s">
        <v>12</v>
      </c>
      <c r="F9" s="1">
        <v>25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t="s">
        <v>13</v>
      </c>
      <c r="F10" s="1">
        <v>36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t="s">
        <v>12</v>
      </c>
      <c r="F24" s="1">
        <v>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111</v>
      </c>
      <c r="D37" s="1">
        <v>36</v>
      </c>
      <c r="E37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111</v>
      </c>
      <c r="D38" s="1">
        <v>37</v>
      </c>
      <c r="E38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111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>
      <c r="B46" s="1" t="s">
        <v>83</v>
      </c>
      <c r="C46" t="s">
        <v>107</v>
      </c>
      <c r="D46" s="1" t="s">
        <v>2</v>
      </c>
      <c r="E46" t="s">
        <v>12</v>
      </c>
      <c r="F46" s="1">
        <v>16</v>
      </c>
      <c r="G46" s="8">
        <v>70</v>
      </c>
    </row>
    <row r="47" spans="2:7">
      <c r="B47" s="1" t="s">
        <v>84</v>
      </c>
      <c r="C47" t="s">
        <v>107</v>
      </c>
      <c r="D47" s="1" t="s">
        <v>3</v>
      </c>
      <c r="E47" t="s">
        <v>12</v>
      </c>
      <c r="F47" s="1">
        <v>21</v>
      </c>
      <c r="G47" s="8">
        <v>54.9</v>
      </c>
    </row>
    <row r="48" spans="2:7">
      <c r="B48" s="1" t="s">
        <v>85</v>
      </c>
      <c r="C48" t="s">
        <v>107</v>
      </c>
      <c r="D48" s="1" t="s">
        <v>4</v>
      </c>
      <c r="E48" t="s">
        <v>12</v>
      </c>
      <c r="F48" s="1">
        <v>43</v>
      </c>
      <c r="G48" s="8">
        <v>54.9</v>
      </c>
    </row>
    <row r="49" spans="2:7">
      <c r="B49" s="1" t="s">
        <v>86</v>
      </c>
      <c r="C49" t="s">
        <v>87</v>
      </c>
      <c r="D49" s="1" t="s">
        <v>2</v>
      </c>
      <c r="E49" t="s">
        <v>12</v>
      </c>
      <c r="F49" s="1">
        <v>43</v>
      </c>
      <c r="G49" s="8">
        <v>72.5</v>
      </c>
    </row>
    <row r="50" spans="2:7">
      <c r="B50" s="1" t="s">
        <v>88</v>
      </c>
      <c r="C50" t="s">
        <v>87</v>
      </c>
      <c r="D50" s="1" t="s">
        <v>3</v>
      </c>
      <c r="E50" t="s">
        <v>12</v>
      </c>
      <c r="F50" s="1">
        <v>41</v>
      </c>
      <c r="G50" s="8">
        <v>72.5</v>
      </c>
    </row>
    <row r="51" spans="2:7">
      <c r="B51" s="1" t="s">
        <v>89</v>
      </c>
      <c r="C51" t="s">
        <v>87</v>
      </c>
      <c r="D51" s="1" t="s">
        <v>4</v>
      </c>
      <c r="E51" t="s">
        <v>12</v>
      </c>
      <c r="F51" s="1">
        <v>49</v>
      </c>
      <c r="G51" s="8">
        <v>72.5</v>
      </c>
    </row>
    <row r="52" spans="2:7">
      <c r="B52" s="1" t="s">
        <v>90</v>
      </c>
      <c r="C52" t="s">
        <v>91</v>
      </c>
      <c r="D52" s="1" t="s">
        <v>2</v>
      </c>
      <c r="E52" t="s">
        <v>12</v>
      </c>
      <c r="F52" s="1">
        <v>15</v>
      </c>
      <c r="G52" s="8">
        <v>289.89999999999998</v>
      </c>
    </row>
    <row r="53" spans="2:7">
      <c r="B53" s="1" t="s">
        <v>92</v>
      </c>
      <c r="C53" t="s">
        <v>91</v>
      </c>
      <c r="D53" s="1" t="s">
        <v>3</v>
      </c>
      <c r="E53" t="s">
        <v>12</v>
      </c>
      <c r="F53" s="1">
        <v>10</v>
      </c>
      <c r="G53" s="8">
        <v>289.89999999999998</v>
      </c>
    </row>
    <row r="54" spans="2:7">
      <c r="B54" s="1" t="s">
        <v>93</v>
      </c>
      <c r="C54" t="s">
        <v>91</v>
      </c>
      <c r="D54" s="1" t="s">
        <v>4</v>
      </c>
      <c r="E54" t="s">
        <v>12</v>
      </c>
      <c r="F54" s="1">
        <v>21</v>
      </c>
      <c r="G54" s="8">
        <v>289.89999999999998</v>
      </c>
    </row>
    <row r="55" spans="2:7">
      <c r="B55" s="1" t="s">
        <v>94</v>
      </c>
      <c r="C55" t="s">
        <v>95</v>
      </c>
      <c r="D55" s="1" t="s">
        <v>2</v>
      </c>
      <c r="E55" t="s">
        <v>12</v>
      </c>
      <c r="F55" s="1">
        <v>8</v>
      </c>
      <c r="G55" s="8">
        <v>32.9</v>
      </c>
    </row>
    <row r="56" spans="2:7">
      <c r="B56" s="1" t="s">
        <v>96</v>
      </c>
      <c r="C56" t="s">
        <v>95</v>
      </c>
      <c r="D56" s="1" t="s">
        <v>3</v>
      </c>
      <c r="E56" t="s">
        <v>12</v>
      </c>
      <c r="F56" s="1">
        <v>42</v>
      </c>
      <c r="G56" s="8">
        <v>32.9</v>
      </c>
    </row>
    <row r="57" spans="2:7">
      <c r="B57" s="1" t="s">
        <v>97</v>
      </c>
      <c r="C57" t="s">
        <v>95</v>
      </c>
      <c r="D57" s="1" t="s">
        <v>4</v>
      </c>
      <c r="E57" t="s">
        <v>12</v>
      </c>
      <c r="F57" s="1">
        <v>48</v>
      </c>
      <c r="G57" s="8">
        <v>32.9</v>
      </c>
    </row>
    <row r="58" spans="2:7">
      <c r="B58" s="1" t="s">
        <v>98</v>
      </c>
      <c r="C58" t="s">
        <v>99</v>
      </c>
      <c r="D58" s="1" t="s">
        <v>2</v>
      </c>
      <c r="E58" t="s">
        <v>12</v>
      </c>
      <c r="F58" s="1">
        <v>35</v>
      </c>
      <c r="G58" s="8">
        <v>49.9</v>
      </c>
    </row>
    <row r="59" spans="2:7">
      <c r="B59" s="1" t="s">
        <v>100</v>
      </c>
      <c r="C59" t="s">
        <v>99</v>
      </c>
      <c r="D59" s="1" t="s">
        <v>3</v>
      </c>
      <c r="E59" t="s">
        <v>12</v>
      </c>
      <c r="F59" s="1">
        <v>40</v>
      </c>
      <c r="G59" s="8">
        <v>49.9</v>
      </c>
    </row>
    <row r="60" spans="2:7">
      <c r="B60" s="1" t="s">
        <v>101</v>
      </c>
      <c r="C60" t="s">
        <v>99</v>
      </c>
      <c r="D60" s="1" t="s">
        <v>4</v>
      </c>
      <c r="E60" t="s">
        <v>12</v>
      </c>
      <c r="F60" s="1">
        <v>18</v>
      </c>
      <c r="G60" s="8">
        <v>49.9</v>
      </c>
    </row>
    <row r="61" spans="2:7">
      <c r="B61" s="1" t="s">
        <v>102</v>
      </c>
      <c r="C61" t="s">
        <v>104</v>
      </c>
      <c r="D61" s="1">
        <v>35</v>
      </c>
      <c r="E61" t="s">
        <v>14</v>
      </c>
      <c r="F61" s="1">
        <v>48</v>
      </c>
      <c r="G61" s="8">
        <v>89.9</v>
      </c>
    </row>
    <row r="62" spans="2:7">
      <c r="B62" s="1" t="s">
        <v>103</v>
      </c>
      <c r="C62" t="s">
        <v>104</v>
      </c>
      <c r="D62" s="1">
        <v>36</v>
      </c>
      <c r="E62" t="s">
        <v>14</v>
      </c>
      <c r="F62" s="1">
        <v>38</v>
      </c>
      <c r="G62" s="2">
        <v>89.9</v>
      </c>
    </row>
    <row r="63" spans="2:7">
      <c r="B63" s="1" t="s">
        <v>105</v>
      </c>
      <c r="C63" t="s">
        <v>104</v>
      </c>
      <c r="D63" s="1">
        <v>37</v>
      </c>
      <c r="E63" t="s">
        <v>14</v>
      </c>
      <c r="F63" s="1">
        <v>45</v>
      </c>
      <c r="G63" s="2">
        <v>89.9</v>
      </c>
    </row>
    <row r="64" spans="2:7">
      <c r="B64" s="1" t="s">
        <v>106</v>
      </c>
      <c r="C64" t="s">
        <v>108</v>
      </c>
      <c r="D64" s="1" t="s">
        <v>2</v>
      </c>
      <c r="E64" t="s">
        <v>12</v>
      </c>
      <c r="F64" s="1">
        <v>40</v>
      </c>
      <c r="G64" s="2">
        <v>180</v>
      </c>
    </row>
    <row r="65" spans="2:7">
      <c r="B65" s="1" t="s">
        <v>109</v>
      </c>
      <c r="C65" t="s">
        <v>108</v>
      </c>
      <c r="D65" s="1" t="s">
        <v>3</v>
      </c>
      <c r="E65" t="s">
        <v>12</v>
      </c>
      <c r="F65" s="1">
        <v>35</v>
      </c>
      <c r="G65" s="2">
        <v>180</v>
      </c>
    </row>
    <row r="66" spans="2:7">
      <c r="B66" s="1" t="s">
        <v>110</v>
      </c>
      <c r="C66" t="s">
        <v>108</v>
      </c>
      <c r="D66" s="1" t="s">
        <v>4</v>
      </c>
      <c r="E66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13" customFormat="1" ht="40.15" customHeight="1">
      <c r="A1" s="16"/>
      <c r="B1" s="71" t="s">
        <v>82</v>
      </c>
      <c r="C1" s="71"/>
      <c r="D1" s="18"/>
      <c r="E1" s="18"/>
    </row>
    <row r="2" spans="1:5" s="14" customFormat="1" ht="4.5" customHeight="1">
      <c r="A2" s="17"/>
      <c r="B2" s="17"/>
    </row>
    <row r="3" spans="1:5" ht="4.5" customHeight="1" thickBot="1">
      <c r="A3" s="15"/>
      <c r="B3" s="15"/>
    </row>
    <row r="4" spans="1:5" ht="21.75">
      <c r="A4" s="25" t="s">
        <v>30</v>
      </c>
      <c r="B4" s="31" t="s">
        <v>72</v>
      </c>
      <c r="C4" s="31" t="s">
        <v>132</v>
      </c>
      <c r="D4" s="26" t="s">
        <v>133</v>
      </c>
    </row>
    <row r="5" spans="1:5" ht="22.5" customHeight="1">
      <c r="A5" s="37" t="s">
        <v>113</v>
      </c>
      <c r="B5" s="30" t="s">
        <v>71</v>
      </c>
      <c r="C5" s="30" t="s">
        <v>134</v>
      </c>
      <c r="D5" s="40">
        <v>0.2</v>
      </c>
    </row>
    <row r="6" spans="1:5" ht="22.5" customHeight="1">
      <c r="A6" s="37" t="s">
        <v>114</v>
      </c>
      <c r="B6" s="30" t="s">
        <v>73</v>
      </c>
      <c r="C6" s="30" t="s">
        <v>135</v>
      </c>
      <c r="D6" s="40">
        <v>0.15</v>
      </c>
    </row>
    <row r="7" spans="1:5" ht="22.5" customHeight="1">
      <c r="A7" s="37" t="s">
        <v>115</v>
      </c>
      <c r="B7" s="30" t="s">
        <v>70</v>
      </c>
      <c r="C7" s="30" t="s">
        <v>136</v>
      </c>
      <c r="D7" s="40">
        <v>0.1</v>
      </c>
    </row>
    <row r="8" spans="1:5" ht="22.5" customHeight="1">
      <c r="A8" s="37" t="s">
        <v>116</v>
      </c>
      <c r="B8" s="30" t="s">
        <v>118</v>
      </c>
      <c r="C8" s="30" t="s">
        <v>137</v>
      </c>
      <c r="D8" s="40">
        <v>0.2</v>
      </c>
    </row>
    <row r="9" spans="1:5" ht="22.5" customHeight="1" thickBot="1">
      <c r="A9" s="38" t="s">
        <v>117</v>
      </c>
      <c r="B9" s="39" t="s">
        <v>119</v>
      </c>
      <c r="C9" s="39" t="s">
        <v>138</v>
      </c>
      <c r="D9" s="41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M86"/>
  <sheetViews>
    <sheetView topLeftCell="B1" zoomScaleNormal="100" workbookViewId="0">
      <pane ySplit="1" topLeftCell="A2" activePane="bottomLeft" state="frozen"/>
      <selection activeCell="B1" sqref="B1"/>
      <selection pane="bottomLeft" activeCell="D1" sqref="D1"/>
    </sheetView>
  </sheetViews>
  <sheetFormatPr defaultRowHeight="15"/>
  <cols>
    <col min="1" max="1" width="8.85546875" style="1" hidden="1" customWidth="1"/>
    <col min="2" max="2" width="11.5703125" style="1" bestFit="1" customWidth="1"/>
    <col min="3" max="3" width="11.5703125" style="1" customWidth="1"/>
    <col min="4" max="4" width="16.7109375" style="1" customWidth="1"/>
    <col min="5" max="5" width="10.140625" bestFit="1" customWidth="1"/>
    <col min="6" max="6" width="18.7109375" customWidth="1"/>
    <col min="7" max="7" width="13.140625" bestFit="1" customWidth="1"/>
    <col min="8" max="9" width="16" customWidth="1"/>
    <col min="10" max="11" width="17" customWidth="1"/>
    <col min="12" max="12" width="20.28515625" customWidth="1"/>
    <col min="13" max="13" width="17" bestFit="1" customWidth="1"/>
  </cols>
  <sheetData>
    <row r="1" spans="1:13" s="13" customFormat="1" ht="40.15" customHeight="1">
      <c r="A1" s="16"/>
      <c r="B1" s="20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4" customFormat="1" ht="4.5" customHeight="1">
      <c r="A2" s="17"/>
      <c r="B2" s="17"/>
      <c r="C2" s="17"/>
      <c r="D2" s="17"/>
      <c r="E2" s="17"/>
    </row>
    <row r="3" spans="1:13" ht="4.5" customHeight="1">
      <c r="A3" s="15"/>
      <c r="B3" s="15"/>
      <c r="C3" s="15"/>
      <c r="D3" s="15"/>
      <c r="E3" s="15"/>
    </row>
    <row r="4" spans="1:13" s="60" customFormat="1" ht="37.5">
      <c r="A4" s="57" t="s">
        <v>112</v>
      </c>
      <c r="B4" s="58" t="s">
        <v>74</v>
      </c>
      <c r="C4" s="58" t="s">
        <v>30</v>
      </c>
      <c r="D4" s="58" t="s">
        <v>10</v>
      </c>
      <c r="E4" s="58" t="s">
        <v>15</v>
      </c>
      <c r="F4" s="58" t="s">
        <v>11</v>
      </c>
      <c r="G4" s="58" t="s">
        <v>155</v>
      </c>
      <c r="H4" s="61" t="s">
        <v>156</v>
      </c>
      <c r="I4" s="61" t="s">
        <v>157</v>
      </c>
      <c r="J4" s="61" t="s">
        <v>158</v>
      </c>
      <c r="K4" s="58" t="s">
        <v>159</v>
      </c>
      <c r="L4" s="59" t="s">
        <v>16</v>
      </c>
      <c r="M4" s="58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>
        <f>_xlfn.XLOOKUP(TB_Vendas[[#This Row],[Código]],TB_Produtos[Código],TB_Produtos[Categoria])</f>
        <v>Acessórios</v>
      </c>
      <c r="E5" s="1">
        <v>1</v>
      </c>
      <c r="F5" s="7">
        <f>VLOOKUP(TB_Vendas[[#This Row],[Código]],Produtos!$B$6:$G$66,6,0)</f>
        <v>39.9</v>
      </c>
      <c r="G5" s="1">
        <f>_xlfn.XMATCH(TB_Vendas[[#This Row],[Categoria]],Desc_Categorias,0)</f>
        <v>2</v>
      </c>
      <c r="H5" s="43">
        <f>VLOOKUP(TB_Vendas[[#This Row],[Qtd]],Desc_TabelaToda,TB_Vendas[[#This Row],[Indice]],TRUE)</f>
        <v>0</v>
      </c>
      <c r="I5" s="43" cm="1">
        <f t="array" ref="I5">INDEX(Desc_TabelaToda,MATCH(TB_Vendas[[#This Row],[Qtd]],Desc_Quantidades,1),MATCH(_xlfn.XLOOKUP(TB_Vendas[[#This Row],[Código]],TB_Produtos[[#All],[Código]],TB_Produtos[[#All],[Categoria]]),Desc_Categorias,0))</f>
        <v>0</v>
      </c>
      <c r="J5" s="43">
        <f>_xlfn.XLOOKUP(TB_Vendas[[#This Row],[Vendedor]],Vendedores!$A$5:$A$9,Vendedores!$D$5:$D$9)</f>
        <v>0.15</v>
      </c>
      <c r="K5" s="43">
        <f>IF(TB_Vendas[[#This Row],[Desconto 
(Diretão)]]&lt;=TB_Vendas[[#This Row],[Desconto 
(Vendedor)]],TB_Vendas[[#This Row],[Desconto 
(Diretão)]],TB_Vendas[[#This Row],[Desconto 
(Vendedor)]])</f>
        <v>0</v>
      </c>
      <c r="L5" s="2">
        <f>TB_Vendas[[#This Row],[Preço Unitário]]*TB_Vendas[[#This Row],[Qtd]]</f>
        <v>39.9</v>
      </c>
      <c r="M5" s="1" t="s">
        <v>114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>
        <f>_xlfn.XLOOKUP(TB_Vendas[[#This Row],[Código]],TB_Produtos[Código],TB_Produtos[Categoria])</f>
        <v>Acessórios</v>
      </c>
      <c r="E6" s="1">
        <v>1</v>
      </c>
      <c r="F6" s="7">
        <f>VLOOKUP(TB_Vendas[[#This Row],[Código]],Produtos!$B$6:$G$66,6,0)</f>
        <v>259.89999999999998</v>
      </c>
      <c r="G6" s="1">
        <f>_xlfn.XMATCH(TB_Vendas[[#This Row],[Categoria]],Desc_Categorias,0)</f>
        <v>2</v>
      </c>
      <c r="H6" s="43">
        <f>VLOOKUP(TB_Vendas[[#This Row],[Qtd]],Desc_TabelaToda,TB_Vendas[[#This Row],[Indice]],TRUE)</f>
        <v>0</v>
      </c>
      <c r="I6" s="43" cm="1">
        <f t="array" ref="I6">INDEX(Desc_TabelaToda,MATCH(TB_Vendas[[#This Row],[Qtd]],Desc_Quantidades,1),MATCH(_xlfn.XLOOKUP(TB_Vendas[[#This Row],[Código]],TB_Produtos[[#All],[Código]],TB_Produtos[[#All],[Categoria]]),Desc_Categorias,0))</f>
        <v>0</v>
      </c>
      <c r="J6" s="43">
        <f>_xlfn.XLOOKUP(TB_Vendas[[#This Row],[Vendedor]],Vendedores!$A$5:$A$9,Vendedores!$D$5:$D$9)</f>
        <v>0.15</v>
      </c>
      <c r="K6" s="43">
        <f>IF(TB_Vendas[[#This Row],[Desconto 
(Diretão)]]&lt;=TB_Vendas[[#This Row],[Desconto 
(Vendedor)]],TB_Vendas[[#This Row],[Desconto 
(Diretão)]],TB_Vendas[[#This Row],[Desconto 
(Vendedor)]])</f>
        <v>0</v>
      </c>
      <c r="L6" s="2">
        <f>TB_Vendas[[#This Row],[Preço Unitário]]*TB_Vendas[[#This Row],[Qtd]]</f>
        <v>259.89999999999998</v>
      </c>
      <c r="M6" s="1" t="s">
        <v>114</v>
      </c>
    </row>
    <row r="7" spans="1:13">
      <c r="A7" s="4">
        <f>MONTH(TB_Vendas[[#This Row],[Data]])</f>
        <v>1</v>
      </c>
      <c r="B7" s="3">
        <v>44933</v>
      </c>
      <c r="C7" s="4" t="s">
        <v>97</v>
      </c>
      <c r="D7" s="4" t="str">
        <f>_xlfn.XLOOKUP(TB_Vendas[[#This Row],[Código]],TB_Produtos[Código],TB_Produtos[Categoria])</f>
        <v>Vestuário</v>
      </c>
      <c r="E7" s="1">
        <v>2</v>
      </c>
      <c r="F7" s="7">
        <f>VLOOKUP(TB_Vendas[[#This Row],[Código]],Produtos!$B$6:$G$66,6,0)</f>
        <v>32.9</v>
      </c>
      <c r="G7" s="1">
        <f>_xlfn.XMATCH(TB_Vendas[[#This Row],[Categoria]],Desc_Categorias,0)</f>
        <v>3</v>
      </c>
      <c r="H7" s="43">
        <f>VLOOKUP(TB_Vendas[[#This Row],[Qtd]],Desc_TabelaToda,TB_Vendas[[#This Row],[Indice]],TRUE)</f>
        <v>0.15</v>
      </c>
      <c r="I7" s="43" cm="1">
        <f t="array" ref="I7">INDEX(Desc_TabelaToda,MATCH(TB_Vendas[[#This Row],[Qtd]],Desc_Quantidades,1),MATCH(_xlfn.XLOOKUP(TB_Vendas[[#This Row],[Código]],TB_Produtos[[#All],[Código]],TB_Produtos[[#All],[Categoria]]),Desc_Categorias,0))</f>
        <v>0.15</v>
      </c>
      <c r="J7" s="43">
        <f>_xlfn.XLOOKUP(TB_Vendas[[#This Row],[Vendedor]],Vendedores!$A$5:$A$9,Vendedores!$D$5:$D$9)</f>
        <v>0.2</v>
      </c>
      <c r="K7" s="43">
        <f>IF(TB_Vendas[[#This Row],[Desconto 
(Diretão)]]&lt;=TB_Vendas[[#This Row],[Desconto 
(Vendedor)]],TB_Vendas[[#This Row],[Desconto 
(Diretão)]],TB_Vendas[[#This Row],[Desconto 
(Vendedor)]])</f>
        <v>0.15</v>
      </c>
      <c r="L7" s="2">
        <f>TB_Vendas[[#This Row],[Preço Unitário]]*TB_Vendas[[#This Row],[Qtd]]</f>
        <v>65.8</v>
      </c>
      <c r="M7" s="1" t="s">
        <v>113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>
        <f>_xlfn.XLOOKUP(TB_Vendas[[#This Row],[Código]],TB_Produtos[Código],TB_Produtos[Categoria])</f>
        <v>Vestuário</v>
      </c>
      <c r="E8" s="1">
        <v>1</v>
      </c>
      <c r="F8" s="7">
        <f>VLOOKUP(TB_Vendas[[#This Row],[Código]],Produtos!$B$6:$G$66,6,0)</f>
        <v>46.9</v>
      </c>
      <c r="G8" s="1">
        <f>_xlfn.XMATCH(TB_Vendas[[#This Row],[Categoria]],Desc_Categorias,0)</f>
        <v>3</v>
      </c>
      <c r="H8" s="43">
        <f>VLOOKUP(TB_Vendas[[#This Row],[Qtd]],Desc_TabelaToda,TB_Vendas[[#This Row],[Indice]],TRUE)</f>
        <v>0.1</v>
      </c>
      <c r="I8" s="43" cm="1">
        <f t="array" ref="I8">INDEX(Desc_TabelaToda,MATCH(TB_Vendas[[#This Row],[Qtd]],Desc_Quantidades,1),MATCH(_xlfn.XLOOKUP(TB_Vendas[[#This Row],[Código]],TB_Produtos[[#All],[Código]],TB_Produtos[[#All],[Categoria]]),Desc_Categorias,0))</f>
        <v>0.1</v>
      </c>
      <c r="J8" s="43">
        <f>_xlfn.XLOOKUP(TB_Vendas[[#This Row],[Vendedor]],Vendedores!$A$5:$A$9,Vendedores!$D$5:$D$9)</f>
        <v>0.15</v>
      </c>
      <c r="K8" s="43">
        <f>IF(TB_Vendas[[#This Row],[Desconto 
(Diretão)]]&lt;=TB_Vendas[[#This Row],[Desconto 
(Vendedor)]],TB_Vendas[[#This Row],[Desconto 
(Diretão)]],TB_Vendas[[#This Row],[Desconto 
(Vendedor)]])</f>
        <v>0.1</v>
      </c>
      <c r="L8" s="2">
        <f>TB_Vendas[[#This Row],[Preço Unitário]]*TB_Vendas[[#This Row],[Qtd]]</f>
        <v>46.9</v>
      </c>
      <c r="M8" s="1" t="s">
        <v>117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>
        <f>_xlfn.XLOOKUP(TB_Vendas[[#This Row],[Código]],TB_Produtos[Código],TB_Produtos[Categoria])</f>
        <v>Vestuário</v>
      </c>
      <c r="E9" s="1">
        <v>1</v>
      </c>
      <c r="F9" s="7">
        <f>VLOOKUP(TB_Vendas[[#This Row],[Código]],Produtos!$B$6:$G$66,6,0)</f>
        <v>29.9</v>
      </c>
      <c r="G9" s="1">
        <f>_xlfn.XMATCH(TB_Vendas[[#This Row],[Categoria]],Desc_Categorias,0)</f>
        <v>3</v>
      </c>
      <c r="H9" s="43">
        <f>VLOOKUP(TB_Vendas[[#This Row],[Qtd]],Desc_TabelaToda,TB_Vendas[[#This Row],[Indice]],TRUE)</f>
        <v>0.1</v>
      </c>
      <c r="I9" s="43" cm="1">
        <f t="array" ref="I9">INDEX(Desc_TabelaToda,MATCH(TB_Vendas[[#This Row],[Qtd]],Desc_Quantidades,1),MATCH(_xlfn.XLOOKUP(TB_Vendas[[#This Row],[Código]],TB_Produtos[[#All],[Código]],TB_Produtos[[#All],[Categoria]]),Desc_Categorias,0))</f>
        <v>0.1</v>
      </c>
      <c r="J9" s="43">
        <f>_xlfn.XLOOKUP(TB_Vendas[[#This Row],[Vendedor]],Vendedores!$A$5:$A$9,Vendedores!$D$5:$D$9)</f>
        <v>0.15</v>
      </c>
      <c r="K9" s="43">
        <f>IF(TB_Vendas[[#This Row],[Desconto 
(Diretão)]]&lt;=TB_Vendas[[#This Row],[Desconto 
(Vendedor)]],TB_Vendas[[#This Row],[Desconto 
(Diretão)]],TB_Vendas[[#This Row],[Desconto 
(Vendedor)]])</f>
        <v>0.1</v>
      </c>
      <c r="L9" s="2">
        <f>TB_Vendas[[#This Row],[Preço Unitário]]*TB_Vendas[[#This Row],[Qtd]]</f>
        <v>29.9</v>
      </c>
      <c r="M9" s="1" t="s">
        <v>114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>
        <f>_xlfn.XLOOKUP(TB_Vendas[[#This Row],[Código]],TB_Produtos[Código],TB_Produtos[Categoria])</f>
        <v>Vestuário</v>
      </c>
      <c r="E10" s="1">
        <v>1</v>
      </c>
      <c r="F10" s="7">
        <f>VLOOKUP(TB_Vendas[[#This Row],[Código]],Produtos!$B$6:$G$66,6,0)</f>
        <v>299.89999999999998</v>
      </c>
      <c r="G10" s="1">
        <f>_xlfn.XMATCH(TB_Vendas[[#This Row],[Categoria]],Desc_Categorias,0)</f>
        <v>3</v>
      </c>
      <c r="H10" s="43">
        <f>VLOOKUP(TB_Vendas[[#This Row],[Qtd]],Desc_TabelaToda,TB_Vendas[[#This Row],[Indice]],TRUE)</f>
        <v>0.1</v>
      </c>
      <c r="I10" s="43" cm="1">
        <f t="array" ref="I10">INDEX(Desc_TabelaToda,MATCH(TB_Vendas[[#This Row],[Qtd]],Desc_Quantidades,1),MATCH(_xlfn.XLOOKUP(TB_Vendas[[#This Row],[Código]],TB_Produtos[[#All],[Código]],TB_Produtos[[#All],[Categoria]]),Desc_Categorias,0))</f>
        <v>0.1</v>
      </c>
      <c r="J10" s="43">
        <f>_xlfn.XLOOKUP(TB_Vendas[[#This Row],[Vendedor]],Vendedores!$A$5:$A$9,Vendedores!$D$5:$D$9)</f>
        <v>0.15</v>
      </c>
      <c r="K10" s="43">
        <f>IF(TB_Vendas[[#This Row],[Desconto 
(Diretão)]]&lt;=TB_Vendas[[#This Row],[Desconto 
(Vendedor)]],TB_Vendas[[#This Row],[Desconto 
(Diretão)]],TB_Vendas[[#This Row],[Desconto 
(Vendedor)]])</f>
        <v>0.1</v>
      </c>
      <c r="L10" s="2">
        <f>TB_Vendas[[#This Row],[Preço Unitário]]*TB_Vendas[[#This Row],[Qtd]]</f>
        <v>299.89999999999998</v>
      </c>
      <c r="M10" s="1" t="s">
        <v>117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>
        <f>_xlfn.XLOOKUP(TB_Vendas[[#This Row],[Código]],TB_Produtos[Código],TB_Produtos[Categoria])</f>
        <v>Vestuário</v>
      </c>
      <c r="E11" s="1">
        <v>1</v>
      </c>
      <c r="F11" s="7">
        <f>VLOOKUP(TB_Vendas[[#This Row],[Código]],Produtos!$B$6:$G$66,6,0)</f>
        <v>146</v>
      </c>
      <c r="G11" s="1">
        <f>_xlfn.XMATCH(TB_Vendas[[#This Row],[Categoria]],Desc_Categorias,0)</f>
        <v>3</v>
      </c>
      <c r="H11" s="43">
        <f>VLOOKUP(TB_Vendas[[#This Row],[Qtd]],Desc_TabelaToda,TB_Vendas[[#This Row],[Indice]],TRUE)</f>
        <v>0.1</v>
      </c>
      <c r="I11" s="43" cm="1">
        <f t="array" ref="I11">INDEX(Desc_TabelaToda,MATCH(TB_Vendas[[#This Row],[Qtd]],Desc_Quantidades,1),MATCH(_xlfn.XLOOKUP(TB_Vendas[[#This Row],[Código]],TB_Produtos[[#All],[Código]],TB_Produtos[[#All],[Categoria]]),Desc_Categorias,0))</f>
        <v>0.1</v>
      </c>
      <c r="J11" s="43">
        <f>_xlfn.XLOOKUP(TB_Vendas[[#This Row],[Vendedor]],Vendedores!$A$5:$A$9,Vendedores!$D$5:$D$9)</f>
        <v>0.1</v>
      </c>
      <c r="K11" s="43">
        <f>IF(TB_Vendas[[#This Row],[Desconto 
(Diretão)]]&lt;=TB_Vendas[[#This Row],[Desconto 
(Vendedor)]],TB_Vendas[[#This Row],[Desconto 
(Diretão)]],TB_Vendas[[#This Row],[Desconto 
(Vendedor)]])</f>
        <v>0.1</v>
      </c>
      <c r="L11" s="2">
        <f>TB_Vendas[[#This Row],[Preço Unitário]]*TB_Vendas[[#This Row],[Qtd]]</f>
        <v>146</v>
      </c>
      <c r="M11" s="1" t="s">
        <v>115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>
        <f>_xlfn.XLOOKUP(TB_Vendas[[#This Row],[Código]],TB_Produtos[Código],TB_Produtos[Categoria])</f>
        <v>Vestuário</v>
      </c>
      <c r="E12" s="1">
        <v>2</v>
      </c>
      <c r="F12" s="7">
        <f>VLOOKUP(TB_Vendas[[#This Row],[Código]],Produtos!$B$6:$G$66,6,0)</f>
        <v>89.9</v>
      </c>
      <c r="G12" s="1">
        <f>_xlfn.XMATCH(TB_Vendas[[#This Row],[Categoria]],Desc_Categorias,0)</f>
        <v>3</v>
      </c>
      <c r="H12" s="43">
        <f>VLOOKUP(TB_Vendas[[#This Row],[Qtd]],Desc_TabelaToda,TB_Vendas[[#This Row],[Indice]],TRUE)</f>
        <v>0.15</v>
      </c>
      <c r="I12" s="43" cm="1">
        <f t="array" ref="I12">INDEX(Desc_TabelaToda,MATCH(TB_Vendas[[#This Row],[Qtd]],Desc_Quantidades,1),MATCH(_xlfn.XLOOKUP(TB_Vendas[[#This Row],[Código]],TB_Produtos[[#All],[Código]],TB_Produtos[[#All],[Categoria]]),Desc_Categorias,0))</f>
        <v>0.15</v>
      </c>
      <c r="J12" s="43">
        <f>_xlfn.XLOOKUP(TB_Vendas[[#This Row],[Vendedor]],Vendedores!$A$5:$A$9,Vendedores!$D$5:$D$9)</f>
        <v>0.1</v>
      </c>
      <c r="K12" s="43">
        <f>IF(TB_Vendas[[#This Row],[Desconto 
(Diretão)]]&lt;=TB_Vendas[[#This Row],[Desconto 
(Vendedor)]],TB_Vendas[[#This Row],[Desconto 
(Diretão)]],TB_Vendas[[#This Row],[Desconto 
(Vendedor)]])</f>
        <v>0.1</v>
      </c>
      <c r="L12" s="2">
        <f>TB_Vendas[[#This Row],[Preço Unitário]]*TB_Vendas[[#This Row],[Qtd]]</f>
        <v>179.8</v>
      </c>
      <c r="M12" s="1" t="s">
        <v>115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>
        <f>_xlfn.XLOOKUP(TB_Vendas[[#This Row],[Código]],TB_Produtos[Código],TB_Produtos[Categoria])</f>
        <v>Calçado</v>
      </c>
      <c r="E13" s="1">
        <v>2</v>
      </c>
      <c r="F13" s="7">
        <f>VLOOKUP(TB_Vendas[[#This Row],[Código]],Produtos!$B$6:$G$66,6,0)</f>
        <v>250</v>
      </c>
      <c r="G13" s="1">
        <f>_xlfn.XMATCH(TB_Vendas[[#This Row],[Categoria]],Desc_Categorias,0)</f>
        <v>4</v>
      </c>
      <c r="H13" s="43">
        <f>VLOOKUP(TB_Vendas[[#This Row],[Qtd]],Desc_TabelaToda,TB_Vendas[[#This Row],[Indice]],TRUE)</f>
        <v>0.1</v>
      </c>
      <c r="I13" s="43" cm="1">
        <f t="array" ref="I13">INDEX(Desc_TabelaToda,MATCH(TB_Vendas[[#This Row],[Qtd]],Desc_Quantidades,1),MATCH(_xlfn.XLOOKUP(TB_Vendas[[#This Row],[Código]],TB_Produtos[[#All],[Código]],TB_Produtos[[#All],[Categoria]]),Desc_Categorias,0))</f>
        <v>0.1</v>
      </c>
      <c r="J13" s="43">
        <f>_xlfn.XLOOKUP(TB_Vendas[[#This Row],[Vendedor]],Vendedores!$A$5:$A$9,Vendedores!$D$5:$D$9)</f>
        <v>0.15</v>
      </c>
      <c r="K13" s="43">
        <f>IF(TB_Vendas[[#This Row],[Desconto 
(Diretão)]]&lt;=TB_Vendas[[#This Row],[Desconto 
(Vendedor)]],TB_Vendas[[#This Row],[Desconto 
(Diretão)]],TB_Vendas[[#This Row],[Desconto 
(Vendedor)]])</f>
        <v>0.1</v>
      </c>
      <c r="L13" s="2">
        <f>TB_Vendas[[#This Row],[Preço Unitário]]*TB_Vendas[[#This Row],[Qtd]]</f>
        <v>500</v>
      </c>
      <c r="M13" s="1" t="s">
        <v>114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>
        <f>_xlfn.XLOOKUP(TB_Vendas[[#This Row],[Código]],TB_Produtos[Código],TB_Produtos[Categoria])</f>
        <v>Vestuário</v>
      </c>
      <c r="E14" s="1">
        <v>1</v>
      </c>
      <c r="F14" s="7">
        <f>VLOOKUP(TB_Vendas[[#This Row],[Código]],Produtos!$B$6:$G$66,6,0)</f>
        <v>39.9</v>
      </c>
      <c r="G14" s="1">
        <f>_xlfn.XMATCH(TB_Vendas[[#This Row],[Categoria]],Desc_Categorias,0)</f>
        <v>3</v>
      </c>
      <c r="H14" s="43">
        <f>VLOOKUP(TB_Vendas[[#This Row],[Qtd]],Desc_TabelaToda,TB_Vendas[[#This Row],[Indice]],TRUE)</f>
        <v>0.1</v>
      </c>
      <c r="I14" s="43" cm="1">
        <f t="array" ref="I14">INDEX(Desc_TabelaToda,MATCH(TB_Vendas[[#This Row],[Qtd]],Desc_Quantidades,1),MATCH(_xlfn.XLOOKUP(TB_Vendas[[#This Row],[Código]],TB_Produtos[[#All],[Código]],TB_Produtos[[#All],[Categoria]]),Desc_Categorias,0))</f>
        <v>0.1</v>
      </c>
      <c r="J14" s="43">
        <f>_xlfn.XLOOKUP(TB_Vendas[[#This Row],[Vendedor]],Vendedores!$A$5:$A$9,Vendedores!$D$5:$D$9)</f>
        <v>0.15</v>
      </c>
      <c r="K14" s="43">
        <f>IF(TB_Vendas[[#This Row],[Desconto 
(Diretão)]]&lt;=TB_Vendas[[#This Row],[Desconto 
(Vendedor)]],TB_Vendas[[#This Row],[Desconto 
(Diretão)]],TB_Vendas[[#This Row],[Desconto 
(Vendedor)]])</f>
        <v>0.1</v>
      </c>
      <c r="L14" s="2">
        <f>TB_Vendas[[#This Row],[Preço Unitário]]*TB_Vendas[[#This Row],[Qtd]]</f>
        <v>39.9</v>
      </c>
      <c r="M14" s="1" t="s">
        <v>114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>
        <f>_xlfn.XLOOKUP(TB_Vendas[[#This Row],[Código]],TB_Produtos[Código],TB_Produtos[Categoria])</f>
        <v>Vestuário</v>
      </c>
      <c r="E15" s="1">
        <v>1</v>
      </c>
      <c r="F15" s="7">
        <f>VLOOKUP(TB_Vendas[[#This Row],[Código]],Produtos!$B$6:$G$66,6,0)</f>
        <v>142.9</v>
      </c>
      <c r="G15" s="1">
        <f>_xlfn.XMATCH(TB_Vendas[[#This Row],[Categoria]],Desc_Categorias,0)</f>
        <v>3</v>
      </c>
      <c r="H15" s="43">
        <f>VLOOKUP(TB_Vendas[[#This Row],[Qtd]],Desc_TabelaToda,TB_Vendas[[#This Row],[Indice]],TRUE)</f>
        <v>0.1</v>
      </c>
      <c r="I15" s="43" cm="1">
        <f t="array" ref="I15">INDEX(Desc_TabelaToda,MATCH(TB_Vendas[[#This Row],[Qtd]],Desc_Quantidades,1),MATCH(_xlfn.XLOOKUP(TB_Vendas[[#This Row],[Código]],TB_Produtos[[#All],[Código]],TB_Produtos[[#All],[Categoria]]),Desc_Categorias,0))</f>
        <v>0.1</v>
      </c>
      <c r="J15" s="43">
        <f>_xlfn.XLOOKUP(TB_Vendas[[#This Row],[Vendedor]],Vendedores!$A$5:$A$9,Vendedores!$D$5:$D$9)</f>
        <v>0.2</v>
      </c>
      <c r="K15" s="43">
        <f>IF(TB_Vendas[[#This Row],[Desconto 
(Diretão)]]&lt;=TB_Vendas[[#This Row],[Desconto 
(Vendedor)]],TB_Vendas[[#This Row],[Desconto 
(Diretão)]],TB_Vendas[[#This Row],[Desconto 
(Vendedor)]])</f>
        <v>0.1</v>
      </c>
      <c r="L15" s="2">
        <f>TB_Vendas[[#This Row],[Preço Unitário]]*TB_Vendas[[#This Row],[Qtd]]</f>
        <v>142.9</v>
      </c>
      <c r="M15" s="1" t="s">
        <v>116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>
        <f>_xlfn.XLOOKUP(TB_Vendas[[#This Row],[Código]],TB_Produtos[Código],TB_Produtos[Categoria])</f>
        <v>Vestuário</v>
      </c>
      <c r="E16" s="1">
        <v>1</v>
      </c>
      <c r="F16" s="7">
        <f>VLOOKUP(TB_Vendas[[#This Row],[Código]],Produtos!$B$6:$G$66,6,0)</f>
        <v>300</v>
      </c>
      <c r="G16" s="1">
        <f>_xlfn.XMATCH(TB_Vendas[[#This Row],[Categoria]],Desc_Categorias,0)</f>
        <v>3</v>
      </c>
      <c r="H16" s="43">
        <f>VLOOKUP(TB_Vendas[[#This Row],[Qtd]],Desc_TabelaToda,TB_Vendas[[#This Row],[Indice]],TRUE)</f>
        <v>0.1</v>
      </c>
      <c r="I16" s="43" cm="1">
        <f t="array" ref="I16">INDEX(Desc_TabelaToda,MATCH(TB_Vendas[[#This Row],[Qtd]],Desc_Quantidades,1),MATCH(_xlfn.XLOOKUP(TB_Vendas[[#This Row],[Código]],TB_Produtos[[#All],[Código]],TB_Produtos[[#All],[Categoria]]),Desc_Categorias,0))</f>
        <v>0.1</v>
      </c>
      <c r="J16" s="43">
        <f>_xlfn.XLOOKUP(TB_Vendas[[#This Row],[Vendedor]],Vendedores!$A$5:$A$9,Vendedores!$D$5:$D$9)</f>
        <v>0.1</v>
      </c>
      <c r="K16" s="43">
        <f>IF(TB_Vendas[[#This Row],[Desconto 
(Diretão)]]&lt;=TB_Vendas[[#This Row],[Desconto 
(Vendedor)]],TB_Vendas[[#This Row],[Desconto 
(Diretão)]],TB_Vendas[[#This Row],[Desconto 
(Vendedor)]])</f>
        <v>0.1</v>
      </c>
      <c r="L16" s="2">
        <f>TB_Vendas[[#This Row],[Preço Unitário]]*TB_Vendas[[#This Row],[Qtd]]</f>
        <v>300</v>
      </c>
      <c r="M16" s="1" t="s">
        <v>115</v>
      </c>
    </row>
    <row r="17" spans="1:13">
      <c r="A17" s="4">
        <f>MONTH(TB_Vendas[[#This Row],[Data]])</f>
        <v>2</v>
      </c>
      <c r="B17" s="3">
        <v>44962</v>
      </c>
      <c r="C17" s="4" t="s">
        <v>93</v>
      </c>
      <c r="D17" s="4" t="str">
        <f>_xlfn.XLOOKUP(TB_Vendas[[#This Row],[Código]],TB_Produtos[Código],TB_Produtos[Categoria])</f>
        <v>Vestuário</v>
      </c>
      <c r="E17" s="1">
        <v>2</v>
      </c>
      <c r="F17" s="7">
        <f>VLOOKUP(TB_Vendas[[#This Row],[Código]],Produtos!$B$6:$G$66,6,0)</f>
        <v>289.89999999999998</v>
      </c>
      <c r="G17" s="1">
        <f>_xlfn.XMATCH(TB_Vendas[[#This Row],[Categoria]],Desc_Categorias,0)</f>
        <v>3</v>
      </c>
      <c r="H17" s="43">
        <f>VLOOKUP(TB_Vendas[[#This Row],[Qtd]],Desc_TabelaToda,TB_Vendas[[#This Row],[Indice]],TRUE)</f>
        <v>0.15</v>
      </c>
      <c r="I17" s="43" cm="1">
        <f t="array" ref="I17">INDEX(Desc_TabelaToda,MATCH(TB_Vendas[[#This Row],[Qtd]],Desc_Quantidades,1),MATCH(_xlfn.XLOOKUP(TB_Vendas[[#This Row],[Código]],TB_Produtos[[#All],[Código]],TB_Produtos[[#All],[Categoria]]),Desc_Categorias,0))</f>
        <v>0.15</v>
      </c>
      <c r="J17" s="43">
        <f>_xlfn.XLOOKUP(TB_Vendas[[#This Row],[Vendedor]],Vendedores!$A$5:$A$9,Vendedores!$D$5:$D$9)</f>
        <v>0.2</v>
      </c>
      <c r="K17" s="43">
        <f>IF(TB_Vendas[[#This Row],[Desconto 
(Diretão)]]&lt;=TB_Vendas[[#This Row],[Desconto 
(Vendedor)]],TB_Vendas[[#This Row],[Desconto 
(Diretão)]],TB_Vendas[[#This Row],[Desconto 
(Vendedor)]])</f>
        <v>0.15</v>
      </c>
      <c r="L17" s="2">
        <f>TB_Vendas[[#This Row],[Preço Unitário]]*TB_Vendas[[#This Row],[Qtd]]</f>
        <v>579.79999999999995</v>
      </c>
      <c r="M17" s="1" t="s">
        <v>116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>
        <f>_xlfn.XLOOKUP(TB_Vendas[[#This Row],[Código]],TB_Produtos[Código],TB_Produtos[Categoria])</f>
        <v>Calçado</v>
      </c>
      <c r="E18" s="1">
        <v>1</v>
      </c>
      <c r="F18" s="7">
        <f>VLOOKUP(TB_Vendas[[#This Row],[Código]],Produtos!$B$6:$G$66,6,0)</f>
        <v>249.9</v>
      </c>
      <c r="G18" s="1">
        <f>_xlfn.XMATCH(TB_Vendas[[#This Row],[Categoria]],Desc_Categorias,0)</f>
        <v>4</v>
      </c>
      <c r="H18" s="43">
        <f>VLOOKUP(TB_Vendas[[#This Row],[Qtd]],Desc_TabelaToda,TB_Vendas[[#This Row],[Indice]],TRUE)</f>
        <v>0</v>
      </c>
      <c r="I18" s="43" cm="1">
        <f t="array" ref="I18">INDEX(Desc_TabelaToda,MATCH(TB_Vendas[[#This Row],[Qtd]],Desc_Quantidades,1),MATCH(_xlfn.XLOOKUP(TB_Vendas[[#This Row],[Código]],TB_Produtos[[#All],[Código]],TB_Produtos[[#All],[Categoria]]),Desc_Categorias,0))</f>
        <v>0</v>
      </c>
      <c r="J18" s="43">
        <f>_xlfn.XLOOKUP(TB_Vendas[[#This Row],[Vendedor]],Vendedores!$A$5:$A$9,Vendedores!$D$5:$D$9)</f>
        <v>0.2</v>
      </c>
      <c r="K18" s="43">
        <f>IF(TB_Vendas[[#This Row],[Desconto 
(Diretão)]]&lt;=TB_Vendas[[#This Row],[Desconto 
(Vendedor)]],TB_Vendas[[#This Row],[Desconto 
(Diretão)]],TB_Vendas[[#This Row],[Desconto 
(Vendedor)]])</f>
        <v>0</v>
      </c>
      <c r="L18" s="2">
        <f>TB_Vendas[[#This Row],[Preço Unitário]]*TB_Vendas[[#This Row],[Qtd]]</f>
        <v>249.9</v>
      </c>
      <c r="M18" s="1" t="s">
        <v>116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>
        <f>_xlfn.XLOOKUP(TB_Vendas[[#This Row],[Código]],TB_Produtos[Código],TB_Produtos[Categoria])</f>
        <v>Vestuário</v>
      </c>
      <c r="E19" s="1">
        <v>2</v>
      </c>
      <c r="F19" s="7">
        <f>VLOOKUP(TB_Vendas[[#This Row],[Código]],Produtos!$B$6:$G$66,6,0)</f>
        <v>39.9</v>
      </c>
      <c r="G19" s="1">
        <f>_xlfn.XMATCH(TB_Vendas[[#This Row],[Categoria]],Desc_Categorias,0)</f>
        <v>3</v>
      </c>
      <c r="H19" s="43">
        <f>VLOOKUP(TB_Vendas[[#This Row],[Qtd]],Desc_TabelaToda,TB_Vendas[[#This Row],[Indice]],TRUE)</f>
        <v>0.15</v>
      </c>
      <c r="I19" s="43" cm="1">
        <f t="array" ref="I19">INDEX(Desc_TabelaToda,MATCH(TB_Vendas[[#This Row],[Qtd]],Desc_Quantidades,1),MATCH(_xlfn.XLOOKUP(TB_Vendas[[#This Row],[Código]],TB_Produtos[[#All],[Código]],TB_Produtos[[#All],[Categoria]]),Desc_Categorias,0))</f>
        <v>0.15</v>
      </c>
      <c r="J19" s="43">
        <f>_xlfn.XLOOKUP(TB_Vendas[[#This Row],[Vendedor]],Vendedores!$A$5:$A$9,Vendedores!$D$5:$D$9)</f>
        <v>0.2</v>
      </c>
      <c r="K19" s="43">
        <f>IF(TB_Vendas[[#This Row],[Desconto 
(Diretão)]]&lt;=TB_Vendas[[#This Row],[Desconto 
(Vendedor)]],TB_Vendas[[#This Row],[Desconto 
(Diretão)]],TB_Vendas[[#This Row],[Desconto 
(Vendedor)]])</f>
        <v>0.15</v>
      </c>
      <c r="L19" s="2">
        <f>TB_Vendas[[#This Row],[Preço Unitário]]*TB_Vendas[[#This Row],[Qtd]]</f>
        <v>79.8</v>
      </c>
      <c r="M19" s="1" t="s">
        <v>116</v>
      </c>
    </row>
    <row r="20" spans="1:13">
      <c r="A20" s="4">
        <f>MONTH(TB_Vendas[[#This Row],[Data]])</f>
        <v>2</v>
      </c>
      <c r="B20" s="3">
        <v>44981</v>
      </c>
      <c r="C20" s="4" t="s">
        <v>90</v>
      </c>
      <c r="D20" s="4" t="str">
        <f>_xlfn.XLOOKUP(TB_Vendas[[#This Row],[Código]],TB_Produtos[Código],TB_Produtos[Categoria])</f>
        <v>Vestuário</v>
      </c>
      <c r="E20" s="1">
        <v>4</v>
      </c>
      <c r="F20" s="7">
        <f>VLOOKUP(TB_Vendas[[#This Row],[Código]],Produtos!$B$6:$G$66,6,0)</f>
        <v>289.89999999999998</v>
      </c>
      <c r="G20" s="1">
        <f>_xlfn.XMATCH(TB_Vendas[[#This Row],[Categoria]],Desc_Categorias,0)</f>
        <v>3</v>
      </c>
      <c r="H20" s="43">
        <f>VLOOKUP(TB_Vendas[[#This Row],[Qtd]],Desc_TabelaToda,TB_Vendas[[#This Row],[Indice]],TRUE)</f>
        <v>0.2</v>
      </c>
      <c r="I20" s="43" cm="1">
        <f t="array" ref="I20">INDEX(Desc_TabelaToda,MATCH(TB_Vendas[[#This Row],[Qtd]],Desc_Quantidades,1),MATCH(_xlfn.XLOOKUP(TB_Vendas[[#This Row],[Código]],TB_Produtos[[#All],[Código]],TB_Produtos[[#All],[Categoria]]),Desc_Categorias,0))</f>
        <v>0.2</v>
      </c>
      <c r="J20" s="43">
        <f>_xlfn.XLOOKUP(TB_Vendas[[#This Row],[Vendedor]],Vendedores!$A$5:$A$9,Vendedores!$D$5:$D$9)</f>
        <v>0.2</v>
      </c>
      <c r="K20" s="43">
        <f>IF(TB_Vendas[[#This Row],[Desconto 
(Diretão)]]&lt;=TB_Vendas[[#This Row],[Desconto 
(Vendedor)]],TB_Vendas[[#This Row],[Desconto 
(Diretão)]],TB_Vendas[[#This Row],[Desconto 
(Vendedor)]])</f>
        <v>0.2</v>
      </c>
      <c r="L20" s="2">
        <f>TB_Vendas[[#This Row],[Preço Unitário]]*TB_Vendas[[#This Row],[Qtd]]</f>
        <v>1159.5999999999999</v>
      </c>
      <c r="M20" s="1" t="s">
        <v>116</v>
      </c>
    </row>
    <row r="21" spans="1:13">
      <c r="A21" s="4">
        <f>MONTH(TB_Vendas[[#This Row],[Data]])</f>
        <v>2</v>
      </c>
      <c r="B21" s="3">
        <v>44982</v>
      </c>
      <c r="C21" s="4" t="s">
        <v>110</v>
      </c>
      <c r="D21" s="4" t="str">
        <f>_xlfn.XLOOKUP(TB_Vendas[[#This Row],[Código]],TB_Produtos[Código],TB_Produtos[Categoria])</f>
        <v>Vestuário</v>
      </c>
      <c r="E21" s="1">
        <v>3</v>
      </c>
      <c r="F21" s="7">
        <f>VLOOKUP(TB_Vendas[[#This Row],[Código]],Produtos!$B$6:$G$66,6,0)</f>
        <v>180</v>
      </c>
      <c r="G21" s="1">
        <f>_xlfn.XMATCH(TB_Vendas[[#This Row],[Categoria]],Desc_Categorias,0)</f>
        <v>3</v>
      </c>
      <c r="H21" s="43">
        <f>VLOOKUP(TB_Vendas[[#This Row],[Qtd]],Desc_TabelaToda,TB_Vendas[[#This Row],[Indice]],TRUE)</f>
        <v>0.2</v>
      </c>
      <c r="I21" s="43" cm="1">
        <f t="array" ref="I21">INDEX(Desc_TabelaToda,MATCH(TB_Vendas[[#This Row],[Qtd]],Desc_Quantidades,1),MATCH(_xlfn.XLOOKUP(TB_Vendas[[#This Row],[Código]],TB_Produtos[[#All],[Código]],TB_Produtos[[#All],[Categoria]]),Desc_Categorias,0))</f>
        <v>0.2</v>
      </c>
      <c r="J21" s="43">
        <f>_xlfn.XLOOKUP(TB_Vendas[[#This Row],[Vendedor]],Vendedores!$A$5:$A$9,Vendedores!$D$5:$D$9)</f>
        <v>0.15</v>
      </c>
      <c r="K21" s="43">
        <f>IF(TB_Vendas[[#This Row],[Desconto 
(Diretão)]]&lt;=TB_Vendas[[#This Row],[Desconto 
(Vendedor)]],TB_Vendas[[#This Row],[Desconto 
(Diretão)]],TB_Vendas[[#This Row],[Desconto 
(Vendedor)]])</f>
        <v>0.15</v>
      </c>
      <c r="L21" s="2">
        <f>TB_Vendas[[#This Row],[Preço Unitário]]*TB_Vendas[[#This Row],[Qtd]]</f>
        <v>540</v>
      </c>
      <c r="M21" s="1" t="s">
        <v>114</v>
      </c>
    </row>
    <row r="22" spans="1:13">
      <c r="A22" s="4">
        <f>MONTH(TB_Vendas[[#This Row],[Data]])</f>
        <v>2</v>
      </c>
      <c r="B22" s="3">
        <v>44983</v>
      </c>
      <c r="C22" s="4" t="s">
        <v>96</v>
      </c>
      <c r="D22" s="4" t="str">
        <f>_xlfn.XLOOKUP(TB_Vendas[[#This Row],[Código]],TB_Produtos[Código],TB_Produtos[Categoria])</f>
        <v>Vestuário</v>
      </c>
      <c r="E22" s="1">
        <v>2</v>
      </c>
      <c r="F22" s="7">
        <f>VLOOKUP(TB_Vendas[[#This Row],[Código]],Produtos!$B$6:$G$66,6,0)</f>
        <v>32.9</v>
      </c>
      <c r="G22" s="1">
        <f>_xlfn.XMATCH(TB_Vendas[[#This Row],[Categoria]],Desc_Categorias,0)</f>
        <v>3</v>
      </c>
      <c r="H22" s="43">
        <f>VLOOKUP(TB_Vendas[[#This Row],[Qtd]],Desc_TabelaToda,TB_Vendas[[#This Row],[Indice]],TRUE)</f>
        <v>0.15</v>
      </c>
      <c r="I22" s="43" cm="1">
        <f t="array" ref="I22">INDEX(Desc_TabelaToda,MATCH(TB_Vendas[[#This Row],[Qtd]],Desc_Quantidades,1),MATCH(_xlfn.XLOOKUP(TB_Vendas[[#This Row],[Código]],TB_Produtos[[#All],[Código]],TB_Produtos[[#All],[Categoria]]),Desc_Categorias,0))</f>
        <v>0.15</v>
      </c>
      <c r="J22" s="43">
        <f>_xlfn.XLOOKUP(TB_Vendas[[#This Row],[Vendedor]],Vendedores!$A$5:$A$9,Vendedores!$D$5:$D$9)</f>
        <v>0.2</v>
      </c>
      <c r="K22" s="43">
        <f>IF(TB_Vendas[[#This Row],[Desconto 
(Diretão)]]&lt;=TB_Vendas[[#This Row],[Desconto 
(Vendedor)]],TB_Vendas[[#This Row],[Desconto 
(Diretão)]],TB_Vendas[[#This Row],[Desconto 
(Vendedor)]])</f>
        <v>0.15</v>
      </c>
      <c r="L22" s="2">
        <f>TB_Vendas[[#This Row],[Preço Unitário]]*TB_Vendas[[#This Row],[Qtd]]</f>
        <v>65.8</v>
      </c>
      <c r="M22" s="1" t="s">
        <v>113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>
        <f>_xlfn.XLOOKUP(TB_Vendas[[#This Row],[Código]],TB_Produtos[Código],TB_Produtos[Categoria])</f>
        <v>Calçado</v>
      </c>
      <c r="E23" s="1">
        <v>3</v>
      </c>
      <c r="F23" s="7">
        <f>VLOOKUP(TB_Vendas[[#This Row],[Código]],Produtos!$B$6:$G$66,6,0)</f>
        <v>255</v>
      </c>
      <c r="G23" s="1">
        <f>_xlfn.XMATCH(TB_Vendas[[#This Row],[Categoria]],Desc_Categorias,0)</f>
        <v>4</v>
      </c>
      <c r="H23" s="43">
        <f>VLOOKUP(TB_Vendas[[#This Row],[Qtd]],Desc_TabelaToda,TB_Vendas[[#This Row],[Indice]],TRUE)</f>
        <v>0.15</v>
      </c>
      <c r="I23" s="43" cm="1">
        <f t="array" ref="I23">INDEX(Desc_TabelaToda,MATCH(TB_Vendas[[#This Row],[Qtd]],Desc_Quantidades,1),MATCH(_xlfn.XLOOKUP(TB_Vendas[[#This Row],[Código]],TB_Produtos[[#All],[Código]],TB_Produtos[[#All],[Categoria]]),Desc_Categorias,0))</f>
        <v>0.15</v>
      </c>
      <c r="J23" s="43">
        <f>_xlfn.XLOOKUP(TB_Vendas[[#This Row],[Vendedor]],Vendedores!$A$5:$A$9,Vendedores!$D$5:$D$9)</f>
        <v>0.2</v>
      </c>
      <c r="K23" s="43">
        <f>IF(TB_Vendas[[#This Row],[Desconto 
(Diretão)]]&lt;=TB_Vendas[[#This Row],[Desconto 
(Vendedor)]],TB_Vendas[[#This Row],[Desconto 
(Diretão)]],TB_Vendas[[#This Row],[Desconto 
(Vendedor)]])</f>
        <v>0.15</v>
      </c>
      <c r="L23" s="2">
        <f>TB_Vendas[[#This Row],[Preço Unitário]]*TB_Vendas[[#This Row],[Qtd]]</f>
        <v>765</v>
      </c>
      <c r="M23" s="1" t="s">
        <v>116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>
        <f>_xlfn.XLOOKUP(TB_Vendas[[#This Row],[Código]],TB_Produtos[Código],TB_Produtos[Categoria])</f>
        <v>Vestuário</v>
      </c>
      <c r="E24" s="1">
        <v>1</v>
      </c>
      <c r="F24" s="7">
        <f>VLOOKUP(TB_Vendas[[#This Row],[Código]],Produtos!$B$6:$G$66,6,0)</f>
        <v>142.9</v>
      </c>
      <c r="G24" s="1">
        <f>_xlfn.XMATCH(TB_Vendas[[#This Row],[Categoria]],Desc_Categorias,0)</f>
        <v>3</v>
      </c>
      <c r="H24" s="43">
        <f>VLOOKUP(TB_Vendas[[#This Row],[Qtd]],Desc_TabelaToda,TB_Vendas[[#This Row],[Indice]],TRUE)</f>
        <v>0.1</v>
      </c>
      <c r="I24" s="43" cm="1">
        <f t="array" ref="I24">INDEX(Desc_TabelaToda,MATCH(TB_Vendas[[#This Row],[Qtd]],Desc_Quantidades,1),MATCH(_xlfn.XLOOKUP(TB_Vendas[[#This Row],[Código]],TB_Produtos[[#All],[Código]],TB_Produtos[[#All],[Categoria]]),Desc_Categorias,0))</f>
        <v>0.1</v>
      </c>
      <c r="J24" s="43">
        <f>_xlfn.XLOOKUP(TB_Vendas[[#This Row],[Vendedor]],Vendedores!$A$5:$A$9,Vendedores!$D$5:$D$9)</f>
        <v>0.2</v>
      </c>
      <c r="K24" s="43">
        <f>IF(TB_Vendas[[#This Row],[Desconto 
(Diretão)]]&lt;=TB_Vendas[[#This Row],[Desconto 
(Vendedor)]],TB_Vendas[[#This Row],[Desconto 
(Diretão)]],TB_Vendas[[#This Row],[Desconto 
(Vendedor)]])</f>
        <v>0.1</v>
      </c>
      <c r="L24" s="2">
        <f>TB_Vendas[[#This Row],[Preço Unitário]]*TB_Vendas[[#This Row],[Qtd]]</f>
        <v>142.9</v>
      </c>
      <c r="M24" s="1" t="s">
        <v>113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>
        <f>_xlfn.XLOOKUP(TB_Vendas[[#This Row],[Código]],TB_Produtos[Código],TB_Produtos[Categoria])</f>
        <v>Vestuário</v>
      </c>
      <c r="E25" s="1">
        <v>4</v>
      </c>
      <c r="F25" s="7">
        <f>VLOOKUP(TB_Vendas[[#This Row],[Código]],Produtos!$B$6:$G$66,6,0)</f>
        <v>92.9</v>
      </c>
      <c r="G25" s="1">
        <f>_xlfn.XMATCH(TB_Vendas[[#This Row],[Categoria]],Desc_Categorias,0)</f>
        <v>3</v>
      </c>
      <c r="H25" s="43">
        <f>VLOOKUP(TB_Vendas[[#This Row],[Qtd]],Desc_TabelaToda,TB_Vendas[[#This Row],[Indice]],TRUE)</f>
        <v>0.2</v>
      </c>
      <c r="I25" s="43" cm="1">
        <f t="array" ref="I25">INDEX(Desc_TabelaToda,MATCH(TB_Vendas[[#This Row],[Qtd]],Desc_Quantidades,1),MATCH(_xlfn.XLOOKUP(TB_Vendas[[#This Row],[Código]],TB_Produtos[[#All],[Código]],TB_Produtos[[#All],[Categoria]]),Desc_Categorias,0))</f>
        <v>0.2</v>
      </c>
      <c r="J25" s="43">
        <f>_xlfn.XLOOKUP(TB_Vendas[[#This Row],[Vendedor]],Vendedores!$A$5:$A$9,Vendedores!$D$5:$D$9)</f>
        <v>0.1</v>
      </c>
      <c r="K25" s="43">
        <f>IF(TB_Vendas[[#This Row],[Desconto 
(Diretão)]]&lt;=TB_Vendas[[#This Row],[Desconto 
(Vendedor)]],TB_Vendas[[#This Row],[Desconto 
(Diretão)]],TB_Vendas[[#This Row],[Desconto 
(Vendedor)]])</f>
        <v>0.1</v>
      </c>
      <c r="L25" s="2">
        <f>TB_Vendas[[#This Row],[Preço Unitário]]*TB_Vendas[[#This Row],[Qtd]]</f>
        <v>371.6</v>
      </c>
      <c r="M25" s="1" t="s">
        <v>115</v>
      </c>
    </row>
    <row r="26" spans="1:13">
      <c r="A26" s="4">
        <f>MONTH(TB_Vendas[[#This Row],[Data]])</f>
        <v>3</v>
      </c>
      <c r="B26" s="3">
        <v>44988</v>
      </c>
      <c r="C26" s="4" t="s">
        <v>85</v>
      </c>
      <c r="D26" s="4" t="str">
        <f>_xlfn.XLOOKUP(TB_Vendas[[#This Row],[Código]],TB_Produtos[Código],TB_Produtos[Categoria])</f>
        <v>Vestuário</v>
      </c>
      <c r="E26" s="1">
        <v>2</v>
      </c>
      <c r="F26" s="7">
        <f>VLOOKUP(TB_Vendas[[#This Row],[Código]],Produtos!$B$6:$G$66,6,0)</f>
        <v>54.9</v>
      </c>
      <c r="G26" s="1">
        <f>_xlfn.XMATCH(TB_Vendas[[#This Row],[Categoria]],Desc_Categorias,0)</f>
        <v>3</v>
      </c>
      <c r="H26" s="43">
        <f>VLOOKUP(TB_Vendas[[#This Row],[Qtd]],Desc_TabelaToda,TB_Vendas[[#This Row],[Indice]],TRUE)</f>
        <v>0.15</v>
      </c>
      <c r="I26" s="43" cm="1">
        <f t="array" ref="I26">INDEX(Desc_TabelaToda,MATCH(TB_Vendas[[#This Row],[Qtd]],Desc_Quantidades,1),MATCH(_xlfn.XLOOKUP(TB_Vendas[[#This Row],[Código]],TB_Produtos[[#All],[Código]],TB_Produtos[[#All],[Categoria]]),Desc_Categorias,0))</f>
        <v>0.15</v>
      </c>
      <c r="J26" s="43">
        <f>_xlfn.XLOOKUP(TB_Vendas[[#This Row],[Vendedor]],Vendedores!$A$5:$A$9,Vendedores!$D$5:$D$9)</f>
        <v>0.2</v>
      </c>
      <c r="K26" s="43">
        <f>IF(TB_Vendas[[#This Row],[Desconto 
(Diretão)]]&lt;=TB_Vendas[[#This Row],[Desconto 
(Vendedor)]],TB_Vendas[[#This Row],[Desconto 
(Diretão)]],TB_Vendas[[#This Row],[Desconto 
(Vendedor)]])</f>
        <v>0.15</v>
      </c>
      <c r="L26" s="2">
        <f>TB_Vendas[[#This Row],[Preço Unitário]]*TB_Vendas[[#This Row],[Qtd]]</f>
        <v>109.8</v>
      </c>
      <c r="M26" s="1" t="s">
        <v>113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>
        <f>_xlfn.XLOOKUP(TB_Vendas[[#This Row],[Código]],TB_Produtos[Código],TB_Produtos[Categoria])</f>
        <v>Vestuário</v>
      </c>
      <c r="E27" s="1">
        <v>3</v>
      </c>
      <c r="F27" s="7">
        <f>VLOOKUP(TB_Vendas[[#This Row],[Código]],Produtos!$B$6:$G$66,6,0)</f>
        <v>142.9</v>
      </c>
      <c r="G27" s="1">
        <f>_xlfn.XMATCH(TB_Vendas[[#This Row],[Categoria]],Desc_Categorias,0)</f>
        <v>3</v>
      </c>
      <c r="H27" s="43">
        <f>VLOOKUP(TB_Vendas[[#This Row],[Qtd]],Desc_TabelaToda,TB_Vendas[[#This Row],[Indice]],TRUE)</f>
        <v>0.2</v>
      </c>
      <c r="I27" s="43" cm="1">
        <f t="array" ref="I27">INDEX(Desc_TabelaToda,MATCH(TB_Vendas[[#This Row],[Qtd]],Desc_Quantidades,1),MATCH(_xlfn.XLOOKUP(TB_Vendas[[#This Row],[Código]],TB_Produtos[[#All],[Código]],TB_Produtos[[#All],[Categoria]]),Desc_Categorias,0))</f>
        <v>0.2</v>
      </c>
      <c r="J27" s="43">
        <f>_xlfn.XLOOKUP(TB_Vendas[[#This Row],[Vendedor]],Vendedores!$A$5:$A$9,Vendedores!$D$5:$D$9)</f>
        <v>0.15</v>
      </c>
      <c r="K27" s="43">
        <f>IF(TB_Vendas[[#This Row],[Desconto 
(Diretão)]]&lt;=TB_Vendas[[#This Row],[Desconto 
(Vendedor)]],TB_Vendas[[#This Row],[Desconto 
(Diretão)]],TB_Vendas[[#This Row],[Desconto 
(Vendedor)]])</f>
        <v>0.15</v>
      </c>
      <c r="L27" s="2">
        <f>TB_Vendas[[#This Row],[Preço Unitário]]*TB_Vendas[[#This Row],[Qtd]]</f>
        <v>428.70000000000005</v>
      </c>
      <c r="M27" s="1" t="s">
        <v>114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>
        <f>_xlfn.XLOOKUP(TB_Vendas[[#This Row],[Código]],TB_Produtos[Código],TB_Produtos[Categoria])</f>
        <v>Acessórios</v>
      </c>
      <c r="E28" s="1">
        <v>2</v>
      </c>
      <c r="F28" s="7">
        <f>VLOOKUP(TB_Vendas[[#This Row],[Código]],Produtos!$B$6:$G$66,6,0)</f>
        <v>120</v>
      </c>
      <c r="G28" s="1">
        <f>_xlfn.XMATCH(TB_Vendas[[#This Row],[Categoria]],Desc_Categorias,0)</f>
        <v>2</v>
      </c>
      <c r="H28" s="43">
        <f>VLOOKUP(TB_Vendas[[#This Row],[Qtd]],Desc_TabelaToda,TB_Vendas[[#This Row],[Indice]],TRUE)</f>
        <v>0.05</v>
      </c>
      <c r="I28" s="43" cm="1">
        <f t="array" ref="I28">INDEX(Desc_TabelaToda,MATCH(TB_Vendas[[#This Row],[Qtd]],Desc_Quantidades,1),MATCH(_xlfn.XLOOKUP(TB_Vendas[[#This Row],[Código]],TB_Produtos[[#All],[Código]],TB_Produtos[[#All],[Categoria]]),Desc_Categorias,0))</f>
        <v>0.05</v>
      </c>
      <c r="J28" s="43">
        <f>_xlfn.XLOOKUP(TB_Vendas[[#This Row],[Vendedor]],Vendedores!$A$5:$A$9,Vendedores!$D$5:$D$9)</f>
        <v>0.15</v>
      </c>
      <c r="K28" s="43">
        <f>IF(TB_Vendas[[#This Row],[Desconto 
(Diretão)]]&lt;=TB_Vendas[[#This Row],[Desconto 
(Vendedor)]],TB_Vendas[[#This Row],[Desconto 
(Diretão)]],TB_Vendas[[#This Row],[Desconto 
(Vendedor)]])</f>
        <v>0.05</v>
      </c>
      <c r="L28" s="2">
        <f>TB_Vendas[[#This Row],[Preço Unitário]]*TB_Vendas[[#This Row],[Qtd]]</f>
        <v>240</v>
      </c>
      <c r="M28" s="1" t="s">
        <v>114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>
        <f>_xlfn.XLOOKUP(TB_Vendas[[#This Row],[Código]],TB_Produtos[Código],TB_Produtos[Categoria])</f>
        <v>Vestuário</v>
      </c>
      <c r="E29" s="1">
        <v>1</v>
      </c>
      <c r="F29" s="7">
        <f>VLOOKUP(TB_Vendas[[#This Row],[Código]],Produtos!$B$6:$G$66,6,0)</f>
        <v>65.900000000000006</v>
      </c>
      <c r="G29" s="1">
        <f>_xlfn.XMATCH(TB_Vendas[[#This Row],[Categoria]],Desc_Categorias,0)</f>
        <v>3</v>
      </c>
      <c r="H29" s="43">
        <f>VLOOKUP(TB_Vendas[[#This Row],[Qtd]],Desc_TabelaToda,TB_Vendas[[#This Row],[Indice]],TRUE)</f>
        <v>0.1</v>
      </c>
      <c r="I29" s="43" cm="1">
        <f t="array" ref="I29">INDEX(Desc_TabelaToda,MATCH(TB_Vendas[[#This Row],[Qtd]],Desc_Quantidades,1),MATCH(_xlfn.XLOOKUP(TB_Vendas[[#This Row],[Código]],TB_Produtos[[#All],[Código]],TB_Produtos[[#All],[Categoria]]),Desc_Categorias,0))</f>
        <v>0.1</v>
      </c>
      <c r="J29" s="43">
        <f>_xlfn.XLOOKUP(TB_Vendas[[#This Row],[Vendedor]],Vendedores!$A$5:$A$9,Vendedores!$D$5:$D$9)</f>
        <v>0.2</v>
      </c>
      <c r="K29" s="43">
        <f>IF(TB_Vendas[[#This Row],[Desconto 
(Diretão)]]&lt;=TB_Vendas[[#This Row],[Desconto 
(Vendedor)]],TB_Vendas[[#This Row],[Desconto 
(Diretão)]],TB_Vendas[[#This Row],[Desconto 
(Vendedor)]])</f>
        <v>0.1</v>
      </c>
      <c r="L29" s="2">
        <f>TB_Vendas[[#This Row],[Preço Unitário]]*TB_Vendas[[#This Row],[Qtd]]</f>
        <v>65.900000000000006</v>
      </c>
      <c r="M29" s="1" t="s">
        <v>116</v>
      </c>
    </row>
    <row r="30" spans="1:13">
      <c r="A30" s="4">
        <f>MONTH(TB_Vendas[[#This Row],[Data]])</f>
        <v>3</v>
      </c>
      <c r="B30" s="3">
        <v>45004</v>
      </c>
      <c r="C30" s="4" t="s">
        <v>94</v>
      </c>
      <c r="D30" s="4" t="str">
        <f>_xlfn.XLOOKUP(TB_Vendas[[#This Row],[Código]],TB_Produtos[Código],TB_Produtos[Categoria])</f>
        <v>Vestuário</v>
      </c>
      <c r="E30" s="1">
        <v>5</v>
      </c>
      <c r="F30" s="7">
        <f>VLOOKUP(TB_Vendas[[#This Row],[Código]],Produtos!$B$6:$G$66,6,0)</f>
        <v>32.9</v>
      </c>
      <c r="G30" s="1">
        <f>_xlfn.XMATCH(TB_Vendas[[#This Row],[Categoria]],Desc_Categorias,0)</f>
        <v>3</v>
      </c>
      <c r="H30" s="43">
        <f>VLOOKUP(TB_Vendas[[#This Row],[Qtd]],Desc_TabelaToda,TB_Vendas[[#This Row],[Indice]],TRUE)</f>
        <v>0.25</v>
      </c>
      <c r="I30" s="43" cm="1">
        <f t="array" ref="I30">INDEX(Desc_TabelaToda,MATCH(TB_Vendas[[#This Row],[Qtd]],Desc_Quantidades,1),MATCH(_xlfn.XLOOKUP(TB_Vendas[[#This Row],[Código]],TB_Produtos[[#All],[Código]],TB_Produtos[[#All],[Categoria]]),Desc_Categorias,0))</f>
        <v>0.25</v>
      </c>
      <c r="J30" s="43">
        <f>_xlfn.XLOOKUP(TB_Vendas[[#This Row],[Vendedor]],Vendedores!$A$5:$A$9,Vendedores!$D$5:$D$9)</f>
        <v>0.15</v>
      </c>
      <c r="K30" s="43">
        <f>IF(TB_Vendas[[#This Row],[Desconto 
(Diretão)]]&lt;=TB_Vendas[[#This Row],[Desconto 
(Vendedor)]],TB_Vendas[[#This Row],[Desconto 
(Diretão)]],TB_Vendas[[#This Row],[Desconto 
(Vendedor)]])</f>
        <v>0.15</v>
      </c>
      <c r="L30" s="2">
        <f>TB_Vendas[[#This Row],[Preço Unitário]]*TB_Vendas[[#This Row],[Qtd]]</f>
        <v>164.5</v>
      </c>
      <c r="M30" s="1" t="s">
        <v>117</v>
      </c>
    </row>
    <row r="31" spans="1:13">
      <c r="A31" s="4">
        <f>MONTH(TB_Vendas[[#This Row],[Data]])</f>
        <v>3</v>
      </c>
      <c r="B31" s="3">
        <v>45006</v>
      </c>
      <c r="C31" s="4" t="s">
        <v>109</v>
      </c>
      <c r="D31" s="4" t="str">
        <f>_xlfn.XLOOKUP(TB_Vendas[[#This Row],[Código]],TB_Produtos[Código],TB_Produtos[Categoria])</f>
        <v>Vestuário</v>
      </c>
      <c r="E31" s="1">
        <v>2</v>
      </c>
      <c r="F31" s="7">
        <f>VLOOKUP(TB_Vendas[[#This Row],[Código]],Produtos!$B$6:$G$66,6,0)</f>
        <v>180</v>
      </c>
      <c r="G31" s="1">
        <f>_xlfn.XMATCH(TB_Vendas[[#This Row],[Categoria]],Desc_Categorias,0)</f>
        <v>3</v>
      </c>
      <c r="H31" s="43">
        <f>VLOOKUP(TB_Vendas[[#This Row],[Qtd]],Desc_TabelaToda,TB_Vendas[[#This Row],[Indice]],TRUE)</f>
        <v>0.15</v>
      </c>
      <c r="I31" s="43" cm="1">
        <f t="array" ref="I31">INDEX(Desc_TabelaToda,MATCH(TB_Vendas[[#This Row],[Qtd]],Desc_Quantidades,1),MATCH(_xlfn.XLOOKUP(TB_Vendas[[#This Row],[Código]],TB_Produtos[[#All],[Código]],TB_Produtos[[#All],[Categoria]]),Desc_Categorias,0))</f>
        <v>0.15</v>
      </c>
      <c r="J31" s="43">
        <f>_xlfn.XLOOKUP(TB_Vendas[[#This Row],[Vendedor]],Vendedores!$A$5:$A$9,Vendedores!$D$5:$D$9)</f>
        <v>0.15</v>
      </c>
      <c r="K31" s="43">
        <f>IF(TB_Vendas[[#This Row],[Desconto 
(Diretão)]]&lt;=TB_Vendas[[#This Row],[Desconto 
(Vendedor)]],TB_Vendas[[#This Row],[Desconto 
(Diretão)]],TB_Vendas[[#This Row],[Desconto 
(Vendedor)]])</f>
        <v>0.15</v>
      </c>
      <c r="L31" s="2">
        <f>TB_Vendas[[#This Row],[Preço Unitário]]*TB_Vendas[[#This Row],[Qtd]]</f>
        <v>360</v>
      </c>
      <c r="M31" s="1" t="s">
        <v>114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>
        <f>_xlfn.XLOOKUP(TB_Vendas[[#This Row],[Código]],TB_Produtos[Código],TB_Produtos[Categoria])</f>
        <v>Acessórios</v>
      </c>
      <c r="E32" s="1">
        <v>3</v>
      </c>
      <c r="F32" s="7">
        <f>VLOOKUP(TB_Vendas[[#This Row],[Código]],Produtos!$B$6:$G$66,6,0)</f>
        <v>349.9</v>
      </c>
      <c r="G32" s="1">
        <f>_xlfn.XMATCH(TB_Vendas[[#This Row],[Categoria]],Desc_Categorias,0)</f>
        <v>2</v>
      </c>
      <c r="H32" s="43">
        <f>VLOOKUP(TB_Vendas[[#This Row],[Qtd]],Desc_TabelaToda,TB_Vendas[[#This Row],[Indice]],TRUE)</f>
        <v>0.15</v>
      </c>
      <c r="I32" s="43" cm="1">
        <f t="array" ref="I32">INDEX(Desc_TabelaToda,MATCH(TB_Vendas[[#This Row],[Qtd]],Desc_Quantidades,1),MATCH(_xlfn.XLOOKUP(TB_Vendas[[#This Row],[Código]],TB_Produtos[[#All],[Código]],TB_Produtos[[#All],[Categoria]]),Desc_Categorias,0))</f>
        <v>0.15</v>
      </c>
      <c r="J32" s="43">
        <f>_xlfn.XLOOKUP(TB_Vendas[[#This Row],[Vendedor]],Vendedores!$A$5:$A$9,Vendedores!$D$5:$D$9)</f>
        <v>0.2</v>
      </c>
      <c r="K32" s="43">
        <f>IF(TB_Vendas[[#This Row],[Desconto 
(Diretão)]]&lt;=TB_Vendas[[#This Row],[Desconto 
(Vendedor)]],TB_Vendas[[#This Row],[Desconto 
(Diretão)]],TB_Vendas[[#This Row],[Desconto 
(Vendedor)]])</f>
        <v>0.15</v>
      </c>
      <c r="L32" s="2">
        <f>TB_Vendas[[#This Row],[Preço Unitário]]*TB_Vendas[[#This Row],[Qtd]]</f>
        <v>1049.6999999999998</v>
      </c>
      <c r="M32" s="1" t="s">
        <v>113</v>
      </c>
    </row>
    <row r="33" spans="1:13">
      <c r="A33" s="4">
        <f>MONTH(TB_Vendas[[#This Row],[Data]])</f>
        <v>4</v>
      </c>
      <c r="B33" s="3">
        <v>45018</v>
      </c>
      <c r="C33" s="4" t="s">
        <v>88</v>
      </c>
      <c r="D33" s="4" t="str">
        <f>_xlfn.XLOOKUP(TB_Vendas[[#This Row],[Código]],TB_Produtos[Código],TB_Produtos[Categoria])</f>
        <v>Vestuário</v>
      </c>
      <c r="E33" s="1">
        <v>1</v>
      </c>
      <c r="F33" s="7">
        <f>VLOOKUP(TB_Vendas[[#This Row],[Código]],Produtos!$B$6:$G$66,6,0)</f>
        <v>72.5</v>
      </c>
      <c r="G33" s="1">
        <f>_xlfn.XMATCH(TB_Vendas[[#This Row],[Categoria]],Desc_Categorias,0)</f>
        <v>3</v>
      </c>
      <c r="H33" s="43">
        <f>VLOOKUP(TB_Vendas[[#This Row],[Qtd]],Desc_TabelaToda,TB_Vendas[[#This Row],[Indice]],TRUE)</f>
        <v>0.1</v>
      </c>
      <c r="I33" s="43" cm="1">
        <f t="array" ref="I33">INDEX(Desc_TabelaToda,MATCH(TB_Vendas[[#This Row],[Qtd]],Desc_Quantidades,1),MATCH(_xlfn.XLOOKUP(TB_Vendas[[#This Row],[Código]],TB_Produtos[[#All],[Código]],TB_Produtos[[#All],[Categoria]]),Desc_Categorias,0))</f>
        <v>0.1</v>
      </c>
      <c r="J33" s="43">
        <f>_xlfn.XLOOKUP(TB_Vendas[[#This Row],[Vendedor]],Vendedores!$A$5:$A$9,Vendedores!$D$5:$D$9)</f>
        <v>0.1</v>
      </c>
      <c r="K33" s="43">
        <f>IF(TB_Vendas[[#This Row],[Desconto 
(Diretão)]]&lt;=TB_Vendas[[#This Row],[Desconto 
(Vendedor)]],TB_Vendas[[#This Row],[Desconto 
(Diretão)]],TB_Vendas[[#This Row],[Desconto 
(Vendedor)]])</f>
        <v>0.1</v>
      </c>
      <c r="L33" s="2">
        <f>TB_Vendas[[#This Row],[Preço Unitário]]*TB_Vendas[[#This Row],[Qtd]]</f>
        <v>72.5</v>
      </c>
      <c r="M33" s="1" t="s">
        <v>115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>
        <f>_xlfn.XLOOKUP(TB_Vendas[[#This Row],[Código]],TB_Produtos[Código],TB_Produtos[Categoria])</f>
        <v>Vestuário</v>
      </c>
      <c r="E34" s="1">
        <v>4</v>
      </c>
      <c r="F34" s="7">
        <f>VLOOKUP(TB_Vendas[[#This Row],[Código]],Produtos!$B$6:$G$66,6,0)</f>
        <v>259.89999999999998</v>
      </c>
      <c r="G34" s="1">
        <f>_xlfn.XMATCH(TB_Vendas[[#This Row],[Categoria]],Desc_Categorias,0)</f>
        <v>3</v>
      </c>
      <c r="H34" s="43">
        <f>VLOOKUP(TB_Vendas[[#This Row],[Qtd]],Desc_TabelaToda,TB_Vendas[[#This Row],[Indice]],TRUE)</f>
        <v>0.2</v>
      </c>
      <c r="I34" s="43" cm="1">
        <f t="array" ref="I34">INDEX(Desc_TabelaToda,MATCH(TB_Vendas[[#This Row],[Qtd]],Desc_Quantidades,1),MATCH(_xlfn.XLOOKUP(TB_Vendas[[#This Row],[Código]],TB_Produtos[[#All],[Código]],TB_Produtos[[#All],[Categoria]]),Desc_Categorias,0))</f>
        <v>0.2</v>
      </c>
      <c r="J34" s="43">
        <f>_xlfn.XLOOKUP(TB_Vendas[[#This Row],[Vendedor]],Vendedores!$A$5:$A$9,Vendedores!$D$5:$D$9)</f>
        <v>0.2</v>
      </c>
      <c r="K34" s="43">
        <f>IF(TB_Vendas[[#This Row],[Desconto 
(Diretão)]]&lt;=TB_Vendas[[#This Row],[Desconto 
(Vendedor)]],TB_Vendas[[#This Row],[Desconto 
(Diretão)]],TB_Vendas[[#This Row],[Desconto 
(Vendedor)]])</f>
        <v>0.2</v>
      </c>
      <c r="L34" s="2">
        <f>TB_Vendas[[#This Row],[Preço Unitário]]*TB_Vendas[[#This Row],[Qtd]]</f>
        <v>1039.5999999999999</v>
      </c>
      <c r="M34" s="1" t="s">
        <v>113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>
        <f>_xlfn.XLOOKUP(TB_Vendas[[#This Row],[Código]],TB_Produtos[Código],TB_Produtos[Categoria])</f>
        <v>Vestuário</v>
      </c>
      <c r="E35" s="1">
        <v>3</v>
      </c>
      <c r="F35" s="7">
        <f>VLOOKUP(TB_Vendas[[#This Row],[Código]],Produtos!$B$6:$G$66,6,0)</f>
        <v>25.9</v>
      </c>
      <c r="G35" s="1">
        <f>_xlfn.XMATCH(TB_Vendas[[#This Row],[Categoria]],Desc_Categorias,0)</f>
        <v>3</v>
      </c>
      <c r="H35" s="43">
        <f>VLOOKUP(TB_Vendas[[#This Row],[Qtd]],Desc_TabelaToda,TB_Vendas[[#This Row],[Indice]],TRUE)</f>
        <v>0.2</v>
      </c>
      <c r="I35" s="43" cm="1">
        <f t="array" ref="I35">INDEX(Desc_TabelaToda,MATCH(TB_Vendas[[#This Row],[Qtd]],Desc_Quantidades,1),MATCH(_xlfn.XLOOKUP(TB_Vendas[[#This Row],[Código]],TB_Produtos[[#All],[Código]],TB_Produtos[[#All],[Categoria]]),Desc_Categorias,0))</f>
        <v>0.2</v>
      </c>
      <c r="J35" s="43">
        <f>_xlfn.XLOOKUP(TB_Vendas[[#This Row],[Vendedor]],Vendedores!$A$5:$A$9,Vendedores!$D$5:$D$9)</f>
        <v>0.15</v>
      </c>
      <c r="K35" s="43">
        <f>IF(TB_Vendas[[#This Row],[Desconto 
(Diretão)]]&lt;=TB_Vendas[[#This Row],[Desconto 
(Vendedor)]],TB_Vendas[[#This Row],[Desconto 
(Diretão)]],TB_Vendas[[#This Row],[Desconto 
(Vendedor)]])</f>
        <v>0.15</v>
      </c>
      <c r="L35" s="2">
        <f>TB_Vendas[[#This Row],[Preço Unitário]]*TB_Vendas[[#This Row],[Qtd]]</f>
        <v>77.699999999999989</v>
      </c>
      <c r="M35" s="1" t="s">
        <v>114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>
        <f>_xlfn.XLOOKUP(TB_Vendas[[#This Row],[Código]],TB_Produtos[Código],TB_Produtos[Categoria])</f>
        <v>Acessórios</v>
      </c>
      <c r="E36" s="1">
        <v>2</v>
      </c>
      <c r="F36" s="7">
        <f>VLOOKUP(TB_Vendas[[#This Row],[Código]],Produtos!$B$6:$G$66,6,0)</f>
        <v>145</v>
      </c>
      <c r="G36" s="1">
        <f>_xlfn.XMATCH(TB_Vendas[[#This Row],[Categoria]],Desc_Categorias,0)</f>
        <v>2</v>
      </c>
      <c r="H36" s="43">
        <f>VLOOKUP(TB_Vendas[[#This Row],[Qtd]],Desc_TabelaToda,TB_Vendas[[#This Row],[Indice]],TRUE)</f>
        <v>0.05</v>
      </c>
      <c r="I36" s="43" cm="1">
        <f t="array" ref="I36">INDEX(Desc_TabelaToda,MATCH(TB_Vendas[[#This Row],[Qtd]],Desc_Quantidades,1),MATCH(_xlfn.XLOOKUP(TB_Vendas[[#This Row],[Código]],TB_Produtos[[#All],[Código]],TB_Produtos[[#All],[Categoria]]),Desc_Categorias,0))</f>
        <v>0.05</v>
      </c>
      <c r="J36" s="43">
        <f>_xlfn.XLOOKUP(TB_Vendas[[#This Row],[Vendedor]],Vendedores!$A$5:$A$9,Vendedores!$D$5:$D$9)</f>
        <v>0.2</v>
      </c>
      <c r="K36" s="43">
        <f>IF(TB_Vendas[[#This Row],[Desconto 
(Diretão)]]&lt;=TB_Vendas[[#This Row],[Desconto 
(Vendedor)]],TB_Vendas[[#This Row],[Desconto 
(Diretão)]],TB_Vendas[[#This Row],[Desconto 
(Vendedor)]])</f>
        <v>0.05</v>
      </c>
      <c r="L36" s="2">
        <f>TB_Vendas[[#This Row],[Preço Unitário]]*TB_Vendas[[#This Row],[Qtd]]</f>
        <v>290</v>
      </c>
      <c r="M36" s="1" t="s">
        <v>113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>
        <f>_xlfn.XLOOKUP(TB_Vendas[[#This Row],[Código]],TB_Produtos[Código],TB_Produtos[Categoria])</f>
        <v>Acessórios</v>
      </c>
      <c r="E37" s="1">
        <v>1</v>
      </c>
      <c r="F37" s="7">
        <f>VLOOKUP(TB_Vendas[[#This Row],[Código]],Produtos!$B$6:$G$66,6,0)</f>
        <v>39.9</v>
      </c>
      <c r="G37" s="1">
        <f>_xlfn.XMATCH(TB_Vendas[[#This Row],[Categoria]],Desc_Categorias,0)</f>
        <v>2</v>
      </c>
      <c r="H37" s="43">
        <f>VLOOKUP(TB_Vendas[[#This Row],[Qtd]],Desc_TabelaToda,TB_Vendas[[#This Row],[Indice]],TRUE)</f>
        <v>0</v>
      </c>
      <c r="I37" s="43" cm="1">
        <f t="array" ref="I37">INDEX(Desc_TabelaToda,MATCH(TB_Vendas[[#This Row],[Qtd]],Desc_Quantidades,1),MATCH(_xlfn.XLOOKUP(TB_Vendas[[#This Row],[Código]],TB_Produtos[[#All],[Código]],TB_Produtos[[#All],[Categoria]]),Desc_Categorias,0))</f>
        <v>0</v>
      </c>
      <c r="J37" s="43">
        <f>_xlfn.XLOOKUP(TB_Vendas[[#This Row],[Vendedor]],Vendedores!$A$5:$A$9,Vendedores!$D$5:$D$9)</f>
        <v>0.15</v>
      </c>
      <c r="K37" s="43">
        <f>IF(TB_Vendas[[#This Row],[Desconto 
(Diretão)]]&lt;=TB_Vendas[[#This Row],[Desconto 
(Vendedor)]],TB_Vendas[[#This Row],[Desconto 
(Diretão)]],TB_Vendas[[#This Row],[Desconto 
(Vendedor)]])</f>
        <v>0</v>
      </c>
      <c r="L37" s="2">
        <f>TB_Vendas[[#This Row],[Preço Unitário]]*TB_Vendas[[#This Row],[Qtd]]</f>
        <v>39.9</v>
      </c>
      <c r="M37" s="1" t="s">
        <v>114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>
        <f>_xlfn.XLOOKUP(TB_Vendas[[#This Row],[Código]],TB_Produtos[Código],TB_Produtos[Categoria])</f>
        <v>Acessórios</v>
      </c>
      <c r="E38" s="1">
        <v>3</v>
      </c>
      <c r="F38" s="7">
        <f>VLOOKUP(TB_Vendas[[#This Row],[Código]],Produtos!$B$6:$G$66,6,0)</f>
        <v>349.9</v>
      </c>
      <c r="G38" s="1">
        <f>_xlfn.XMATCH(TB_Vendas[[#This Row],[Categoria]],Desc_Categorias,0)</f>
        <v>2</v>
      </c>
      <c r="H38" s="43">
        <f>VLOOKUP(TB_Vendas[[#This Row],[Qtd]],Desc_TabelaToda,TB_Vendas[[#This Row],[Indice]],TRUE)</f>
        <v>0.15</v>
      </c>
      <c r="I38" s="43" cm="1">
        <f t="array" ref="I38">INDEX(Desc_TabelaToda,MATCH(TB_Vendas[[#This Row],[Qtd]],Desc_Quantidades,1),MATCH(_xlfn.XLOOKUP(TB_Vendas[[#This Row],[Código]],TB_Produtos[[#All],[Código]],TB_Produtos[[#All],[Categoria]]),Desc_Categorias,0))</f>
        <v>0.15</v>
      </c>
      <c r="J38" s="43">
        <f>_xlfn.XLOOKUP(TB_Vendas[[#This Row],[Vendedor]],Vendedores!$A$5:$A$9,Vendedores!$D$5:$D$9)</f>
        <v>0.2</v>
      </c>
      <c r="K38" s="43">
        <f>IF(TB_Vendas[[#This Row],[Desconto 
(Diretão)]]&lt;=TB_Vendas[[#This Row],[Desconto 
(Vendedor)]],TB_Vendas[[#This Row],[Desconto 
(Diretão)]],TB_Vendas[[#This Row],[Desconto 
(Vendedor)]])</f>
        <v>0.15</v>
      </c>
      <c r="L38" s="2">
        <f>TB_Vendas[[#This Row],[Preço Unitário]]*TB_Vendas[[#This Row],[Qtd]]</f>
        <v>1049.6999999999998</v>
      </c>
      <c r="M38" s="1" t="s">
        <v>116</v>
      </c>
    </row>
    <row r="39" spans="1:13">
      <c r="A39" s="4">
        <f>MONTH(TB_Vendas[[#This Row],[Data]])</f>
        <v>4</v>
      </c>
      <c r="B39" s="3">
        <v>45031</v>
      </c>
      <c r="C39" s="4" t="s">
        <v>105</v>
      </c>
      <c r="D39" s="4" t="str">
        <f>_xlfn.XLOOKUP(TB_Vendas[[#This Row],[Código]],TB_Produtos[Código],TB_Produtos[Categoria])</f>
        <v>Calçado</v>
      </c>
      <c r="E39" s="1">
        <v>4</v>
      </c>
      <c r="F39" s="7">
        <f>VLOOKUP(TB_Vendas[[#This Row],[Código]],Produtos!$B$6:$G$66,6,0)</f>
        <v>89.9</v>
      </c>
      <c r="G39" s="1">
        <f>_xlfn.XMATCH(TB_Vendas[[#This Row],[Categoria]],Desc_Categorias,0)</f>
        <v>4</v>
      </c>
      <c r="H39" s="43">
        <f>VLOOKUP(TB_Vendas[[#This Row],[Qtd]],Desc_TabelaToda,TB_Vendas[[#This Row],[Indice]],TRUE)</f>
        <v>0.15</v>
      </c>
      <c r="I39" s="43" cm="1">
        <f t="array" ref="I39">INDEX(Desc_TabelaToda,MATCH(TB_Vendas[[#This Row],[Qtd]],Desc_Quantidades,1),MATCH(_xlfn.XLOOKUP(TB_Vendas[[#This Row],[Código]],TB_Produtos[[#All],[Código]],TB_Produtos[[#All],[Categoria]]),Desc_Categorias,0))</f>
        <v>0.15</v>
      </c>
      <c r="J39" s="43">
        <f>_xlfn.XLOOKUP(TB_Vendas[[#This Row],[Vendedor]],Vendedores!$A$5:$A$9,Vendedores!$D$5:$D$9)</f>
        <v>0.2</v>
      </c>
      <c r="K39" s="43">
        <f>IF(TB_Vendas[[#This Row],[Desconto 
(Diretão)]]&lt;=TB_Vendas[[#This Row],[Desconto 
(Vendedor)]],TB_Vendas[[#This Row],[Desconto 
(Diretão)]],TB_Vendas[[#This Row],[Desconto 
(Vendedor)]])</f>
        <v>0.15</v>
      </c>
      <c r="L39" s="2">
        <f>TB_Vendas[[#This Row],[Preço Unitário]]*TB_Vendas[[#This Row],[Qtd]]</f>
        <v>359.6</v>
      </c>
      <c r="M39" s="1" t="s">
        <v>113</v>
      </c>
    </row>
    <row r="40" spans="1:13">
      <c r="A40" s="4">
        <f>MONTH(TB_Vendas[[#This Row],[Data]])</f>
        <v>4</v>
      </c>
      <c r="B40" s="3">
        <v>45038</v>
      </c>
      <c r="C40" s="4" t="s">
        <v>102</v>
      </c>
      <c r="D40" s="4" t="str">
        <f>_xlfn.XLOOKUP(TB_Vendas[[#This Row],[Código]],TB_Produtos[Código],TB_Produtos[Categoria])</f>
        <v>Calçado</v>
      </c>
      <c r="E40" s="1">
        <v>2</v>
      </c>
      <c r="F40" s="7">
        <f>VLOOKUP(TB_Vendas[[#This Row],[Código]],Produtos!$B$6:$G$66,6,0)</f>
        <v>89.9</v>
      </c>
      <c r="G40" s="1">
        <f>_xlfn.XMATCH(TB_Vendas[[#This Row],[Categoria]],Desc_Categorias,0)</f>
        <v>4</v>
      </c>
      <c r="H40" s="43">
        <f>VLOOKUP(TB_Vendas[[#This Row],[Qtd]],Desc_TabelaToda,TB_Vendas[[#This Row],[Indice]],TRUE)</f>
        <v>0.1</v>
      </c>
      <c r="I40" s="43" cm="1">
        <f t="array" ref="I40">INDEX(Desc_TabelaToda,MATCH(TB_Vendas[[#This Row],[Qtd]],Desc_Quantidades,1),MATCH(_xlfn.XLOOKUP(TB_Vendas[[#This Row],[Código]],TB_Produtos[[#All],[Código]],TB_Produtos[[#All],[Categoria]]),Desc_Categorias,0))</f>
        <v>0.1</v>
      </c>
      <c r="J40" s="43">
        <f>_xlfn.XLOOKUP(TB_Vendas[[#This Row],[Vendedor]],Vendedores!$A$5:$A$9,Vendedores!$D$5:$D$9)</f>
        <v>0.2</v>
      </c>
      <c r="K40" s="43">
        <f>IF(TB_Vendas[[#This Row],[Desconto 
(Diretão)]]&lt;=TB_Vendas[[#This Row],[Desconto 
(Vendedor)]],TB_Vendas[[#This Row],[Desconto 
(Diretão)]],TB_Vendas[[#This Row],[Desconto 
(Vendedor)]])</f>
        <v>0.1</v>
      </c>
      <c r="L40" s="2">
        <f>TB_Vendas[[#This Row],[Preço Unitário]]*TB_Vendas[[#This Row],[Qtd]]</f>
        <v>179.8</v>
      </c>
      <c r="M40" s="1" t="s">
        <v>116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>
        <f>_xlfn.XLOOKUP(TB_Vendas[[#This Row],[Código]],TB_Produtos[Código],TB_Produtos[Categoria])</f>
        <v>Vestuário</v>
      </c>
      <c r="E41" s="1">
        <v>3</v>
      </c>
      <c r="F41" s="7">
        <f>VLOOKUP(TB_Vendas[[#This Row],[Código]],Produtos!$B$6:$G$66,6,0)</f>
        <v>69.900000000000006</v>
      </c>
      <c r="G41" s="1">
        <f>_xlfn.XMATCH(TB_Vendas[[#This Row],[Categoria]],Desc_Categorias,0)</f>
        <v>3</v>
      </c>
      <c r="H41" s="43">
        <f>VLOOKUP(TB_Vendas[[#This Row],[Qtd]],Desc_TabelaToda,TB_Vendas[[#This Row],[Indice]],TRUE)</f>
        <v>0.2</v>
      </c>
      <c r="I41" s="43" cm="1">
        <f t="array" ref="I41">INDEX(Desc_TabelaToda,MATCH(TB_Vendas[[#This Row],[Qtd]],Desc_Quantidades,1),MATCH(_xlfn.XLOOKUP(TB_Vendas[[#This Row],[Código]],TB_Produtos[[#All],[Código]],TB_Produtos[[#All],[Categoria]]),Desc_Categorias,0))</f>
        <v>0.2</v>
      </c>
      <c r="J41" s="43">
        <f>_xlfn.XLOOKUP(TB_Vendas[[#This Row],[Vendedor]],Vendedores!$A$5:$A$9,Vendedores!$D$5:$D$9)</f>
        <v>0.2</v>
      </c>
      <c r="K41" s="43">
        <f>IF(TB_Vendas[[#This Row],[Desconto 
(Diretão)]]&lt;=TB_Vendas[[#This Row],[Desconto 
(Vendedor)]],TB_Vendas[[#This Row],[Desconto 
(Diretão)]],TB_Vendas[[#This Row],[Desconto 
(Vendedor)]])</f>
        <v>0.2</v>
      </c>
      <c r="L41" s="2">
        <f>TB_Vendas[[#This Row],[Preço Unitário]]*TB_Vendas[[#This Row],[Qtd]]</f>
        <v>209.70000000000002</v>
      </c>
      <c r="M41" s="1" t="s">
        <v>113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>
        <f>_xlfn.XLOOKUP(TB_Vendas[[#This Row],[Código]],TB_Produtos[Código],TB_Produtos[Categoria])</f>
        <v>Acessórios</v>
      </c>
      <c r="E42" s="1">
        <v>1</v>
      </c>
      <c r="F42" s="7">
        <f>VLOOKUP(TB_Vendas[[#This Row],[Código]],Produtos!$B$6:$G$66,6,0)</f>
        <v>145</v>
      </c>
      <c r="G42" s="1">
        <f>_xlfn.XMATCH(TB_Vendas[[#This Row],[Categoria]],Desc_Categorias,0)</f>
        <v>2</v>
      </c>
      <c r="H42" s="43">
        <f>VLOOKUP(TB_Vendas[[#This Row],[Qtd]],Desc_TabelaToda,TB_Vendas[[#This Row],[Indice]],TRUE)</f>
        <v>0</v>
      </c>
      <c r="I42" s="43" cm="1">
        <f t="array" ref="I42">INDEX(Desc_TabelaToda,MATCH(TB_Vendas[[#This Row],[Qtd]],Desc_Quantidades,1),MATCH(_xlfn.XLOOKUP(TB_Vendas[[#This Row],[Código]],TB_Produtos[[#All],[Código]],TB_Produtos[[#All],[Categoria]]),Desc_Categorias,0))</f>
        <v>0</v>
      </c>
      <c r="J42" s="43">
        <f>_xlfn.XLOOKUP(TB_Vendas[[#This Row],[Vendedor]],Vendedores!$A$5:$A$9,Vendedores!$D$5:$D$9)</f>
        <v>0.15</v>
      </c>
      <c r="K42" s="43">
        <f>IF(TB_Vendas[[#This Row],[Desconto 
(Diretão)]]&lt;=TB_Vendas[[#This Row],[Desconto 
(Vendedor)]],TB_Vendas[[#This Row],[Desconto 
(Diretão)]],TB_Vendas[[#This Row],[Desconto 
(Vendedor)]])</f>
        <v>0</v>
      </c>
      <c r="L42" s="2">
        <f>TB_Vendas[[#This Row],[Preço Unitário]]*TB_Vendas[[#This Row],[Qtd]]</f>
        <v>145</v>
      </c>
      <c r="M42" s="1" t="s">
        <v>117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>
        <f>_xlfn.XLOOKUP(TB_Vendas[[#This Row],[Código]],TB_Produtos[Código],TB_Produtos[Categoria])</f>
        <v>Vestuário</v>
      </c>
      <c r="E43" s="1">
        <v>4</v>
      </c>
      <c r="F43" s="7">
        <f>VLOOKUP(TB_Vendas[[#This Row],[Código]],Produtos!$B$6:$G$66,6,0)</f>
        <v>46.9</v>
      </c>
      <c r="G43" s="1">
        <f>_xlfn.XMATCH(TB_Vendas[[#This Row],[Categoria]],Desc_Categorias,0)</f>
        <v>3</v>
      </c>
      <c r="H43" s="43">
        <f>VLOOKUP(TB_Vendas[[#This Row],[Qtd]],Desc_TabelaToda,TB_Vendas[[#This Row],[Indice]],TRUE)</f>
        <v>0.2</v>
      </c>
      <c r="I43" s="43" cm="1">
        <f t="array" ref="I43">INDEX(Desc_TabelaToda,MATCH(TB_Vendas[[#This Row],[Qtd]],Desc_Quantidades,1),MATCH(_xlfn.XLOOKUP(TB_Vendas[[#This Row],[Código]],TB_Produtos[[#All],[Código]],TB_Produtos[[#All],[Categoria]]),Desc_Categorias,0))</f>
        <v>0.2</v>
      </c>
      <c r="J43" s="43">
        <f>_xlfn.XLOOKUP(TB_Vendas[[#This Row],[Vendedor]],Vendedores!$A$5:$A$9,Vendedores!$D$5:$D$9)</f>
        <v>0.2</v>
      </c>
      <c r="K43" s="43">
        <f>IF(TB_Vendas[[#This Row],[Desconto 
(Diretão)]]&lt;=TB_Vendas[[#This Row],[Desconto 
(Vendedor)]],TB_Vendas[[#This Row],[Desconto 
(Diretão)]],TB_Vendas[[#This Row],[Desconto 
(Vendedor)]])</f>
        <v>0.2</v>
      </c>
      <c r="L43" s="2">
        <f>TB_Vendas[[#This Row],[Preço Unitário]]*TB_Vendas[[#This Row],[Qtd]]</f>
        <v>187.6</v>
      </c>
      <c r="M43" s="1" t="s">
        <v>113</v>
      </c>
    </row>
    <row r="44" spans="1:13">
      <c r="A44" s="4">
        <f>MONTH(TB_Vendas[[#This Row],[Data]])</f>
        <v>5</v>
      </c>
      <c r="B44" s="3">
        <v>45054</v>
      </c>
      <c r="C44" s="4" t="s">
        <v>86</v>
      </c>
      <c r="D44" s="4" t="str">
        <f>_xlfn.XLOOKUP(TB_Vendas[[#This Row],[Código]],TB_Produtos[Código],TB_Produtos[Categoria])</f>
        <v>Vestuário</v>
      </c>
      <c r="E44" s="1">
        <v>2</v>
      </c>
      <c r="F44" s="7">
        <f>VLOOKUP(TB_Vendas[[#This Row],[Código]],Produtos!$B$6:$G$66,6,0)</f>
        <v>72.5</v>
      </c>
      <c r="G44" s="1">
        <f>_xlfn.XMATCH(TB_Vendas[[#This Row],[Categoria]],Desc_Categorias,0)</f>
        <v>3</v>
      </c>
      <c r="H44" s="43">
        <f>VLOOKUP(TB_Vendas[[#This Row],[Qtd]],Desc_TabelaToda,TB_Vendas[[#This Row],[Indice]],TRUE)</f>
        <v>0.15</v>
      </c>
      <c r="I44" s="43" cm="1">
        <f t="array" ref="I44">INDEX(Desc_TabelaToda,MATCH(TB_Vendas[[#This Row],[Qtd]],Desc_Quantidades,1),MATCH(_xlfn.XLOOKUP(TB_Vendas[[#This Row],[Código]],TB_Produtos[[#All],[Código]],TB_Produtos[[#All],[Categoria]]),Desc_Categorias,0))</f>
        <v>0.15</v>
      </c>
      <c r="J44" s="43">
        <f>_xlfn.XLOOKUP(TB_Vendas[[#This Row],[Vendedor]],Vendedores!$A$5:$A$9,Vendedores!$D$5:$D$9)</f>
        <v>0.15</v>
      </c>
      <c r="K44" s="43">
        <f>IF(TB_Vendas[[#This Row],[Desconto 
(Diretão)]]&lt;=TB_Vendas[[#This Row],[Desconto 
(Vendedor)]],TB_Vendas[[#This Row],[Desconto 
(Diretão)]],TB_Vendas[[#This Row],[Desconto 
(Vendedor)]])</f>
        <v>0.15</v>
      </c>
      <c r="L44" s="2">
        <f>TB_Vendas[[#This Row],[Preço Unitário]]*TB_Vendas[[#This Row],[Qtd]]</f>
        <v>145</v>
      </c>
      <c r="M44" s="1" t="s">
        <v>117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>
        <f>_xlfn.XLOOKUP(TB_Vendas[[#This Row],[Código]],TB_Produtos[Código],TB_Produtos[Categoria])</f>
        <v>Vestuário</v>
      </c>
      <c r="E45" s="1">
        <v>3</v>
      </c>
      <c r="F45" s="7">
        <f>VLOOKUP(TB_Vendas[[#This Row],[Código]],Produtos!$B$6:$G$66,6,0)</f>
        <v>140</v>
      </c>
      <c r="G45" s="1">
        <f>_xlfn.XMATCH(TB_Vendas[[#This Row],[Categoria]],Desc_Categorias,0)</f>
        <v>3</v>
      </c>
      <c r="H45" s="43">
        <f>VLOOKUP(TB_Vendas[[#This Row],[Qtd]],Desc_TabelaToda,TB_Vendas[[#This Row],[Indice]],TRUE)</f>
        <v>0.2</v>
      </c>
      <c r="I45" s="43" cm="1">
        <f t="array" ref="I45">INDEX(Desc_TabelaToda,MATCH(TB_Vendas[[#This Row],[Qtd]],Desc_Quantidades,1),MATCH(_xlfn.XLOOKUP(TB_Vendas[[#This Row],[Código]],TB_Produtos[[#All],[Código]],TB_Produtos[[#All],[Categoria]]),Desc_Categorias,0))</f>
        <v>0.2</v>
      </c>
      <c r="J45" s="43">
        <f>_xlfn.XLOOKUP(TB_Vendas[[#This Row],[Vendedor]],Vendedores!$A$5:$A$9,Vendedores!$D$5:$D$9)</f>
        <v>0.2</v>
      </c>
      <c r="K45" s="43">
        <f>IF(TB_Vendas[[#This Row],[Desconto 
(Diretão)]]&lt;=TB_Vendas[[#This Row],[Desconto 
(Vendedor)]],TB_Vendas[[#This Row],[Desconto 
(Diretão)]],TB_Vendas[[#This Row],[Desconto 
(Vendedor)]])</f>
        <v>0.2</v>
      </c>
      <c r="L45" s="2">
        <f>TB_Vendas[[#This Row],[Preço Unitário]]*TB_Vendas[[#This Row],[Qtd]]</f>
        <v>420</v>
      </c>
      <c r="M45" s="1" t="s">
        <v>116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>
        <f>_xlfn.XLOOKUP(TB_Vendas[[#This Row],[Código]],TB_Produtos[Código],TB_Produtos[Categoria])</f>
        <v>Vestuário</v>
      </c>
      <c r="E46" s="1">
        <v>1</v>
      </c>
      <c r="F46" s="7">
        <f>VLOOKUP(TB_Vendas[[#This Row],[Código]],Produtos!$B$6:$G$66,6,0)</f>
        <v>91.4</v>
      </c>
      <c r="G46" s="1">
        <f>_xlfn.XMATCH(TB_Vendas[[#This Row],[Categoria]],Desc_Categorias,0)</f>
        <v>3</v>
      </c>
      <c r="H46" s="43">
        <f>VLOOKUP(TB_Vendas[[#This Row],[Qtd]],Desc_TabelaToda,TB_Vendas[[#This Row],[Indice]],TRUE)</f>
        <v>0.1</v>
      </c>
      <c r="I46" s="43" cm="1">
        <f t="array" ref="I46">INDEX(Desc_TabelaToda,MATCH(TB_Vendas[[#This Row],[Qtd]],Desc_Quantidades,1),MATCH(_xlfn.XLOOKUP(TB_Vendas[[#This Row],[Código]],TB_Produtos[[#All],[Código]],TB_Produtos[[#All],[Categoria]]),Desc_Categorias,0))</f>
        <v>0.1</v>
      </c>
      <c r="J46" s="43">
        <f>_xlfn.XLOOKUP(TB_Vendas[[#This Row],[Vendedor]],Vendedores!$A$5:$A$9,Vendedores!$D$5:$D$9)</f>
        <v>0.15</v>
      </c>
      <c r="K46" s="43">
        <f>IF(TB_Vendas[[#This Row],[Desconto 
(Diretão)]]&lt;=TB_Vendas[[#This Row],[Desconto 
(Vendedor)]],TB_Vendas[[#This Row],[Desconto 
(Diretão)]],TB_Vendas[[#This Row],[Desconto 
(Vendedor)]])</f>
        <v>0.1</v>
      </c>
      <c r="L46" s="2">
        <f>TB_Vendas[[#This Row],[Preço Unitário]]*TB_Vendas[[#This Row],[Qtd]]</f>
        <v>91.4</v>
      </c>
      <c r="M46" s="1" t="s">
        <v>114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>
        <f>_xlfn.XLOOKUP(TB_Vendas[[#This Row],[Código]],TB_Produtos[Código],TB_Produtos[Categoria])</f>
        <v>Acessórios</v>
      </c>
      <c r="E47" s="1">
        <v>2</v>
      </c>
      <c r="F47" s="7">
        <f>VLOOKUP(TB_Vendas[[#This Row],[Código]],Produtos!$B$6:$G$66,6,0)</f>
        <v>349.9</v>
      </c>
      <c r="G47" s="1">
        <f>_xlfn.XMATCH(TB_Vendas[[#This Row],[Categoria]],Desc_Categorias,0)</f>
        <v>2</v>
      </c>
      <c r="H47" s="43">
        <f>VLOOKUP(TB_Vendas[[#This Row],[Qtd]],Desc_TabelaToda,TB_Vendas[[#This Row],[Indice]],TRUE)</f>
        <v>0.05</v>
      </c>
      <c r="I47" s="43" cm="1">
        <f t="array" ref="I47">INDEX(Desc_TabelaToda,MATCH(TB_Vendas[[#This Row],[Qtd]],Desc_Quantidades,1),MATCH(_xlfn.XLOOKUP(TB_Vendas[[#This Row],[Código]],TB_Produtos[[#All],[Código]],TB_Produtos[[#All],[Categoria]]),Desc_Categorias,0))</f>
        <v>0.05</v>
      </c>
      <c r="J47" s="43">
        <f>_xlfn.XLOOKUP(TB_Vendas[[#This Row],[Vendedor]],Vendedores!$A$5:$A$9,Vendedores!$D$5:$D$9)</f>
        <v>0.2</v>
      </c>
      <c r="K47" s="43">
        <f>IF(TB_Vendas[[#This Row],[Desconto 
(Diretão)]]&lt;=TB_Vendas[[#This Row],[Desconto 
(Vendedor)]],TB_Vendas[[#This Row],[Desconto 
(Diretão)]],TB_Vendas[[#This Row],[Desconto 
(Vendedor)]])</f>
        <v>0.05</v>
      </c>
      <c r="L47" s="2">
        <f>TB_Vendas[[#This Row],[Preço Unitário]]*TB_Vendas[[#This Row],[Qtd]]</f>
        <v>699.8</v>
      </c>
      <c r="M47" s="1" t="s">
        <v>116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>
        <f>_xlfn.XLOOKUP(TB_Vendas[[#This Row],[Código]],TB_Produtos[Código],TB_Produtos[Categoria])</f>
        <v>Vestuário</v>
      </c>
      <c r="E48" s="1">
        <v>3</v>
      </c>
      <c r="F48" s="7">
        <f>VLOOKUP(TB_Vendas[[#This Row],[Código]],Produtos!$B$6:$G$66,6,0)</f>
        <v>65.900000000000006</v>
      </c>
      <c r="G48" s="1">
        <f>_xlfn.XMATCH(TB_Vendas[[#This Row],[Categoria]],Desc_Categorias,0)</f>
        <v>3</v>
      </c>
      <c r="H48" s="43">
        <f>VLOOKUP(TB_Vendas[[#This Row],[Qtd]],Desc_TabelaToda,TB_Vendas[[#This Row],[Indice]],TRUE)</f>
        <v>0.2</v>
      </c>
      <c r="I48" s="43" cm="1">
        <f t="array" ref="I48">INDEX(Desc_TabelaToda,MATCH(TB_Vendas[[#This Row],[Qtd]],Desc_Quantidades,1),MATCH(_xlfn.XLOOKUP(TB_Vendas[[#This Row],[Código]],TB_Produtos[[#All],[Código]],TB_Produtos[[#All],[Categoria]]),Desc_Categorias,0))</f>
        <v>0.2</v>
      </c>
      <c r="J48" s="43">
        <f>_xlfn.XLOOKUP(TB_Vendas[[#This Row],[Vendedor]],Vendedores!$A$5:$A$9,Vendedores!$D$5:$D$9)</f>
        <v>0.15</v>
      </c>
      <c r="K48" s="43">
        <f>IF(TB_Vendas[[#This Row],[Desconto 
(Diretão)]]&lt;=TB_Vendas[[#This Row],[Desconto 
(Vendedor)]],TB_Vendas[[#This Row],[Desconto 
(Diretão)]],TB_Vendas[[#This Row],[Desconto 
(Vendedor)]])</f>
        <v>0.15</v>
      </c>
      <c r="L48" s="2">
        <f>TB_Vendas[[#This Row],[Preço Unitário]]*TB_Vendas[[#This Row],[Qtd]]</f>
        <v>197.70000000000002</v>
      </c>
      <c r="M48" s="1" t="s">
        <v>114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>
        <f>_xlfn.XLOOKUP(TB_Vendas[[#This Row],[Código]],TB_Produtos[Código],TB_Produtos[Categoria])</f>
        <v>Vestuário</v>
      </c>
      <c r="E49" s="1">
        <v>2</v>
      </c>
      <c r="F49" s="7">
        <f>VLOOKUP(TB_Vendas[[#This Row],[Código]],Produtos!$B$6:$G$66,6,0)</f>
        <v>91.4</v>
      </c>
      <c r="G49" s="1">
        <f>_xlfn.XMATCH(TB_Vendas[[#This Row],[Categoria]],Desc_Categorias,0)</f>
        <v>3</v>
      </c>
      <c r="H49" s="43">
        <f>VLOOKUP(TB_Vendas[[#This Row],[Qtd]],Desc_TabelaToda,TB_Vendas[[#This Row],[Indice]],TRUE)</f>
        <v>0.15</v>
      </c>
      <c r="I49" s="43" cm="1">
        <f t="array" ref="I49">INDEX(Desc_TabelaToda,MATCH(TB_Vendas[[#This Row],[Qtd]],Desc_Quantidades,1),MATCH(_xlfn.XLOOKUP(TB_Vendas[[#This Row],[Código]],TB_Produtos[[#All],[Código]],TB_Produtos[[#All],[Categoria]]),Desc_Categorias,0))</f>
        <v>0.15</v>
      </c>
      <c r="J49" s="43">
        <f>_xlfn.XLOOKUP(TB_Vendas[[#This Row],[Vendedor]],Vendedores!$A$5:$A$9,Vendedores!$D$5:$D$9)</f>
        <v>0.2</v>
      </c>
      <c r="K49" s="43">
        <f>IF(TB_Vendas[[#This Row],[Desconto 
(Diretão)]]&lt;=TB_Vendas[[#This Row],[Desconto 
(Vendedor)]],TB_Vendas[[#This Row],[Desconto 
(Diretão)]],TB_Vendas[[#This Row],[Desconto 
(Vendedor)]])</f>
        <v>0.15</v>
      </c>
      <c r="L49" s="2">
        <f>TB_Vendas[[#This Row],[Preço Unitário]]*TB_Vendas[[#This Row],[Qtd]]</f>
        <v>182.8</v>
      </c>
      <c r="M49" s="1" t="s">
        <v>113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>
        <f>_xlfn.XLOOKUP(TB_Vendas[[#This Row],[Código]],TB_Produtos[Código],TB_Produtos[Categoria])</f>
        <v>Acessórios</v>
      </c>
      <c r="E50" s="1">
        <v>4</v>
      </c>
      <c r="F50" s="7">
        <f>VLOOKUP(TB_Vendas[[#This Row],[Código]],Produtos!$B$6:$G$66,6,0)</f>
        <v>259.89999999999998</v>
      </c>
      <c r="G50" s="1">
        <f>_xlfn.XMATCH(TB_Vendas[[#This Row],[Categoria]],Desc_Categorias,0)</f>
        <v>2</v>
      </c>
      <c r="H50" s="43">
        <f>VLOOKUP(TB_Vendas[[#This Row],[Qtd]],Desc_TabelaToda,TB_Vendas[[#This Row],[Indice]],TRUE)</f>
        <v>0.15</v>
      </c>
      <c r="I50" s="43" cm="1">
        <f t="array" ref="I50">INDEX(Desc_TabelaToda,MATCH(TB_Vendas[[#This Row],[Qtd]],Desc_Quantidades,1),MATCH(_xlfn.XLOOKUP(TB_Vendas[[#This Row],[Código]],TB_Produtos[[#All],[Código]],TB_Produtos[[#All],[Categoria]]),Desc_Categorias,0))</f>
        <v>0.15</v>
      </c>
      <c r="J50" s="43">
        <f>_xlfn.XLOOKUP(TB_Vendas[[#This Row],[Vendedor]],Vendedores!$A$5:$A$9,Vendedores!$D$5:$D$9)</f>
        <v>0.15</v>
      </c>
      <c r="K50" s="43">
        <f>IF(TB_Vendas[[#This Row],[Desconto 
(Diretão)]]&lt;=TB_Vendas[[#This Row],[Desconto 
(Vendedor)]],TB_Vendas[[#This Row],[Desconto 
(Diretão)]],TB_Vendas[[#This Row],[Desconto 
(Vendedor)]])</f>
        <v>0.15</v>
      </c>
      <c r="L50" s="2">
        <f>TB_Vendas[[#This Row],[Preço Unitário]]*TB_Vendas[[#This Row],[Qtd]]</f>
        <v>1039.5999999999999</v>
      </c>
      <c r="M50" s="1" t="s">
        <v>114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>
        <f>_xlfn.XLOOKUP(TB_Vendas[[#This Row],[Código]],TB_Produtos[Código],TB_Produtos[Categoria])</f>
        <v>Acessórios</v>
      </c>
      <c r="E51" s="1">
        <v>3</v>
      </c>
      <c r="F51" s="7">
        <f>VLOOKUP(TB_Vendas[[#This Row],[Código]],Produtos!$B$6:$G$66,6,0)</f>
        <v>145</v>
      </c>
      <c r="G51" s="1">
        <f>_xlfn.XMATCH(TB_Vendas[[#This Row],[Categoria]],Desc_Categorias,0)</f>
        <v>2</v>
      </c>
      <c r="H51" s="43">
        <f>VLOOKUP(TB_Vendas[[#This Row],[Qtd]],Desc_TabelaToda,TB_Vendas[[#This Row],[Indice]],TRUE)</f>
        <v>0.15</v>
      </c>
      <c r="I51" s="43" cm="1">
        <f t="array" ref="I51">INDEX(Desc_TabelaToda,MATCH(TB_Vendas[[#This Row],[Qtd]],Desc_Quantidades,1),MATCH(_xlfn.XLOOKUP(TB_Vendas[[#This Row],[Código]],TB_Produtos[[#All],[Código]],TB_Produtos[[#All],[Categoria]]),Desc_Categorias,0))</f>
        <v>0.15</v>
      </c>
      <c r="J51" s="43">
        <f>_xlfn.XLOOKUP(TB_Vendas[[#This Row],[Vendedor]],Vendedores!$A$5:$A$9,Vendedores!$D$5:$D$9)</f>
        <v>0.2</v>
      </c>
      <c r="K51" s="43">
        <f>IF(TB_Vendas[[#This Row],[Desconto 
(Diretão)]]&lt;=TB_Vendas[[#This Row],[Desconto 
(Vendedor)]],TB_Vendas[[#This Row],[Desconto 
(Diretão)]],TB_Vendas[[#This Row],[Desconto 
(Vendedor)]])</f>
        <v>0.15</v>
      </c>
      <c r="L51" s="2">
        <f>TB_Vendas[[#This Row],[Preço Unitário]]*TB_Vendas[[#This Row],[Qtd]]</f>
        <v>435</v>
      </c>
      <c r="M51" s="1" t="s">
        <v>113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>
        <f>_xlfn.XLOOKUP(TB_Vendas[[#This Row],[Código]],TB_Produtos[Código],TB_Produtos[Categoria])</f>
        <v>Vestuário</v>
      </c>
      <c r="E52" s="1">
        <v>2</v>
      </c>
      <c r="F52" s="7">
        <f>VLOOKUP(TB_Vendas[[#This Row],[Código]],Produtos!$B$6:$G$66,6,0)</f>
        <v>142.9</v>
      </c>
      <c r="G52" s="1">
        <f>_xlfn.XMATCH(TB_Vendas[[#This Row],[Categoria]],Desc_Categorias,0)</f>
        <v>3</v>
      </c>
      <c r="H52" s="43">
        <f>VLOOKUP(TB_Vendas[[#This Row],[Qtd]],Desc_TabelaToda,TB_Vendas[[#This Row],[Indice]],TRUE)</f>
        <v>0.15</v>
      </c>
      <c r="I52" s="43" cm="1">
        <f t="array" ref="I52">INDEX(Desc_TabelaToda,MATCH(TB_Vendas[[#This Row],[Qtd]],Desc_Quantidades,1),MATCH(_xlfn.XLOOKUP(TB_Vendas[[#This Row],[Código]],TB_Produtos[[#All],[Código]],TB_Produtos[[#All],[Categoria]]),Desc_Categorias,0))</f>
        <v>0.15</v>
      </c>
      <c r="J52" s="43">
        <f>_xlfn.XLOOKUP(TB_Vendas[[#This Row],[Vendedor]],Vendedores!$A$5:$A$9,Vendedores!$D$5:$D$9)</f>
        <v>0.1</v>
      </c>
      <c r="K52" s="43">
        <f>IF(TB_Vendas[[#This Row],[Desconto 
(Diretão)]]&lt;=TB_Vendas[[#This Row],[Desconto 
(Vendedor)]],TB_Vendas[[#This Row],[Desconto 
(Diretão)]],TB_Vendas[[#This Row],[Desconto 
(Vendedor)]])</f>
        <v>0.1</v>
      </c>
      <c r="L52" s="2">
        <f>TB_Vendas[[#This Row],[Preço Unitário]]*TB_Vendas[[#This Row],[Qtd]]</f>
        <v>285.8</v>
      </c>
      <c r="M52" s="1" t="s">
        <v>115</v>
      </c>
    </row>
    <row r="53" spans="1:13">
      <c r="A53" s="4">
        <f>MONTH(TB_Vendas[[#This Row],[Data]])</f>
        <v>6</v>
      </c>
      <c r="B53" s="3">
        <v>45086</v>
      </c>
      <c r="C53" s="4" t="s">
        <v>109</v>
      </c>
      <c r="D53" s="4" t="str">
        <f>_xlfn.XLOOKUP(TB_Vendas[[#This Row],[Código]],TB_Produtos[Código],TB_Produtos[Categoria])</f>
        <v>Vestuário</v>
      </c>
      <c r="E53" s="1">
        <v>2</v>
      </c>
      <c r="F53" s="7">
        <f>VLOOKUP(TB_Vendas[[#This Row],[Código]],Produtos!$B$6:$G$66,6,0)</f>
        <v>180</v>
      </c>
      <c r="G53" s="1">
        <f>_xlfn.XMATCH(TB_Vendas[[#This Row],[Categoria]],Desc_Categorias,0)</f>
        <v>3</v>
      </c>
      <c r="H53" s="43">
        <f>VLOOKUP(TB_Vendas[[#This Row],[Qtd]],Desc_TabelaToda,TB_Vendas[[#This Row],[Indice]],TRUE)</f>
        <v>0.15</v>
      </c>
      <c r="I53" s="43" cm="1">
        <f t="array" ref="I53">INDEX(Desc_TabelaToda,MATCH(TB_Vendas[[#This Row],[Qtd]],Desc_Quantidades,1),MATCH(_xlfn.XLOOKUP(TB_Vendas[[#This Row],[Código]],TB_Produtos[[#All],[Código]],TB_Produtos[[#All],[Categoria]]),Desc_Categorias,0))</f>
        <v>0.15</v>
      </c>
      <c r="J53" s="43">
        <f>_xlfn.XLOOKUP(TB_Vendas[[#This Row],[Vendedor]],Vendedores!$A$5:$A$9,Vendedores!$D$5:$D$9)</f>
        <v>0.2</v>
      </c>
      <c r="K53" s="43">
        <f>IF(TB_Vendas[[#This Row],[Desconto 
(Diretão)]]&lt;=TB_Vendas[[#This Row],[Desconto 
(Vendedor)]],TB_Vendas[[#This Row],[Desconto 
(Diretão)]],TB_Vendas[[#This Row],[Desconto 
(Vendedor)]])</f>
        <v>0.15</v>
      </c>
      <c r="L53" s="2">
        <f>TB_Vendas[[#This Row],[Preço Unitário]]*TB_Vendas[[#This Row],[Qtd]]</f>
        <v>360</v>
      </c>
      <c r="M53" s="1" t="s">
        <v>113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>
        <f>_xlfn.XLOOKUP(TB_Vendas[[#This Row],[Código]],TB_Produtos[Código],TB_Produtos[Categoria])</f>
        <v>Vestuário</v>
      </c>
      <c r="E54" s="1">
        <v>2</v>
      </c>
      <c r="F54" s="7">
        <f>VLOOKUP(TB_Vendas[[#This Row],[Código]],Produtos!$B$6:$G$66,6,0)</f>
        <v>42.5</v>
      </c>
      <c r="G54" s="1">
        <f>_xlfn.XMATCH(TB_Vendas[[#This Row],[Categoria]],Desc_Categorias,0)</f>
        <v>3</v>
      </c>
      <c r="H54" s="43">
        <f>VLOOKUP(TB_Vendas[[#This Row],[Qtd]],Desc_TabelaToda,TB_Vendas[[#This Row],[Indice]],TRUE)</f>
        <v>0.15</v>
      </c>
      <c r="I54" s="43" cm="1">
        <f t="array" ref="I54">INDEX(Desc_TabelaToda,MATCH(TB_Vendas[[#This Row],[Qtd]],Desc_Quantidades,1),MATCH(_xlfn.XLOOKUP(TB_Vendas[[#This Row],[Código]],TB_Produtos[[#All],[Código]],TB_Produtos[[#All],[Categoria]]),Desc_Categorias,0))</f>
        <v>0.15</v>
      </c>
      <c r="J54" s="43">
        <f>_xlfn.XLOOKUP(TB_Vendas[[#This Row],[Vendedor]],Vendedores!$A$5:$A$9,Vendedores!$D$5:$D$9)</f>
        <v>0.1</v>
      </c>
      <c r="K54" s="43">
        <f>IF(TB_Vendas[[#This Row],[Desconto 
(Diretão)]]&lt;=TB_Vendas[[#This Row],[Desconto 
(Vendedor)]],TB_Vendas[[#This Row],[Desconto 
(Diretão)]],TB_Vendas[[#This Row],[Desconto 
(Vendedor)]])</f>
        <v>0.1</v>
      </c>
      <c r="L54" s="2">
        <f>TB_Vendas[[#This Row],[Preço Unitário]]*TB_Vendas[[#This Row],[Qtd]]</f>
        <v>85</v>
      </c>
      <c r="M54" s="1" t="s">
        <v>115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>
        <f>_xlfn.XLOOKUP(TB_Vendas[[#This Row],[Código]],TB_Produtos[Código],TB_Produtos[Categoria])</f>
        <v>Vestuário</v>
      </c>
      <c r="E55" s="1">
        <v>1</v>
      </c>
      <c r="F55" s="7">
        <f>VLOOKUP(TB_Vendas[[#This Row],[Código]],Produtos!$B$6:$G$66,6,0)</f>
        <v>65.900000000000006</v>
      </c>
      <c r="G55" s="1">
        <f>_xlfn.XMATCH(TB_Vendas[[#This Row],[Categoria]],Desc_Categorias,0)</f>
        <v>3</v>
      </c>
      <c r="H55" s="43">
        <f>VLOOKUP(TB_Vendas[[#This Row],[Qtd]],Desc_TabelaToda,TB_Vendas[[#This Row],[Indice]],TRUE)</f>
        <v>0.1</v>
      </c>
      <c r="I55" s="43" cm="1">
        <f t="array" ref="I55">INDEX(Desc_TabelaToda,MATCH(TB_Vendas[[#This Row],[Qtd]],Desc_Quantidades,1),MATCH(_xlfn.XLOOKUP(TB_Vendas[[#This Row],[Código]],TB_Produtos[[#All],[Código]],TB_Produtos[[#All],[Categoria]]),Desc_Categorias,0))</f>
        <v>0.1</v>
      </c>
      <c r="J55" s="43">
        <f>_xlfn.XLOOKUP(TB_Vendas[[#This Row],[Vendedor]],Vendedores!$A$5:$A$9,Vendedores!$D$5:$D$9)</f>
        <v>0.15</v>
      </c>
      <c r="K55" s="43">
        <f>IF(TB_Vendas[[#This Row],[Desconto 
(Diretão)]]&lt;=TB_Vendas[[#This Row],[Desconto 
(Vendedor)]],TB_Vendas[[#This Row],[Desconto 
(Diretão)]],TB_Vendas[[#This Row],[Desconto 
(Vendedor)]])</f>
        <v>0.1</v>
      </c>
      <c r="L55" s="2">
        <f>TB_Vendas[[#This Row],[Preço Unitário]]*TB_Vendas[[#This Row],[Qtd]]</f>
        <v>65.900000000000006</v>
      </c>
      <c r="M55" s="1" t="s">
        <v>114</v>
      </c>
    </row>
    <row r="56" spans="1:13">
      <c r="A56" s="4">
        <f>MONTH(TB_Vendas[[#This Row],[Data]])</f>
        <v>6</v>
      </c>
      <c r="B56" s="3">
        <v>45090</v>
      </c>
      <c r="C56" s="4" t="s">
        <v>106</v>
      </c>
      <c r="D56" s="4" t="str">
        <f>_xlfn.XLOOKUP(TB_Vendas[[#This Row],[Código]],TB_Produtos[Código],TB_Produtos[Categoria])</f>
        <v>Vestuário</v>
      </c>
      <c r="E56" s="1">
        <v>1</v>
      </c>
      <c r="F56" s="7">
        <f>VLOOKUP(TB_Vendas[[#This Row],[Código]],Produtos!$B$6:$G$66,6,0)</f>
        <v>180</v>
      </c>
      <c r="G56" s="1">
        <f>_xlfn.XMATCH(TB_Vendas[[#This Row],[Categoria]],Desc_Categorias,0)</f>
        <v>3</v>
      </c>
      <c r="H56" s="43">
        <f>VLOOKUP(TB_Vendas[[#This Row],[Qtd]],Desc_TabelaToda,TB_Vendas[[#This Row],[Indice]],TRUE)</f>
        <v>0.1</v>
      </c>
      <c r="I56" s="43" cm="1">
        <f t="array" ref="I56">INDEX(Desc_TabelaToda,MATCH(TB_Vendas[[#This Row],[Qtd]],Desc_Quantidades,1),MATCH(_xlfn.XLOOKUP(TB_Vendas[[#This Row],[Código]],TB_Produtos[[#All],[Código]],TB_Produtos[[#All],[Categoria]]),Desc_Categorias,0))</f>
        <v>0.1</v>
      </c>
      <c r="J56" s="43">
        <f>_xlfn.XLOOKUP(TB_Vendas[[#This Row],[Vendedor]],Vendedores!$A$5:$A$9,Vendedores!$D$5:$D$9)</f>
        <v>0.1</v>
      </c>
      <c r="K56" s="43">
        <f>IF(TB_Vendas[[#This Row],[Desconto 
(Diretão)]]&lt;=TB_Vendas[[#This Row],[Desconto 
(Vendedor)]],TB_Vendas[[#This Row],[Desconto 
(Diretão)]],TB_Vendas[[#This Row],[Desconto 
(Vendedor)]])</f>
        <v>0.1</v>
      </c>
      <c r="L56" s="2">
        <f>TB_Vendas[[#This Row],[Preço Unitário]]*TB_Vendas[[#This Row],[Qtd]]</f>
        <v>180</v>
      </c>
      <c r="M56" s="1" t="s">
        <v>115</v>
      </c>
    </row>
    <row r="57" spans="1:13">
      <c r="A57" s="4">
        <f>MONTH(TB_Vendas[[#This Row],[Data]])</f>
        <v>6</v>
      </c>
      <c r="B57" s="3">
        <v>45093</v>
      </c>
      <c r="C57" s="4" t="s">
        <v>96</v>
      </c>
      <c r="D57" s="4" t="str">
        <f>_xlfn.XLOOKUP(TB_Vendas[[#This Row],[Código]],TB_Produtos[Código],TB_Produtos[Categoria])</f>
        <v>Vestuário</v>
      </c>
      <c r="E57" s="1">
        <v>3</v>
      </c>
      <c r="F57" s="7">
        <f>VLOOKUP(TB_Vendas[[#This Row],[Código]],Produtos!$B$6:$G$66,6,0)</f>
        <v>32.9</v>
      </c>
      <c r="G57" s="1">
        <f>_xlfn.XMATCH(TB_Vendas[[#This Row],[Categoria]],Desc_Categorias,0)</f>
        <v>3</v>
      </c>
      <c r="H57" s="43">
        <f>VLOOKUP(TB_Vendas[[#This Row],[Qtd]],Desc_TabelaToda,TB_Vendas[[#This Row],[Indice]],TRUE)</f>
        <v>0.2</v>
      </c>
      <c r="I57" s="43" cm="1">
        <f t="array" ref="I57">INDEX(Desc_TabelaToda,MATCH(TB_Vendas[[#This Row],[Qtd]],Desc_Quantidades,1),MATCH(_xlfn.XLOOKUP(TB_Vendas[[#This Row],[Código]],TB_Produtos[[#All],[Código]],TB_Produtos[[#All],[Categoria]]),Desc_Categorias,0))</f>
        <v>0.2</v>
      </c>
      <c r="J57" s="43">
        <f>_xlfn.XLOOKUP(TB_Vendas[[#This Row],[Vendedor]],Vendedores!$A$5:$A$9,Vendedores!$D$5:$D$9)</f>
        <v>0.15</v>
      </c>
      <c r="K57" s="43">
        <f>IF(TB_Vendas[[#This Row],[Desconto 
(Diretão)]]&lt;=TB_Vendas[[#This Row],[Desconto 
(Vendedor)]],TB_Vendas[[#This Row],[Desconto 
(Diretão)]],TB_Vendas[[#This Row],[Desconto 
(Vendedor)]])</f>
        <v>0.15</v>
      </c>
      <c r="L57" s="2">
        <f>TB_Vendas[[#This Row],[Preço Unitário]]*TB_Vendas[[#This Row],[Qtd]]</f>
        <v>98.699999999999989</v>
      </c>
      <c r="M57" s="1" t="s">
        <v>114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>
        <f>_xlfn.XLOOKUP(TB_Vendas[[#This Row],[Código]],TB_Produtos[Código],TB_Produtos[Categoria])</f>
        <v>Vestuário</v>
      </c>
      <c r="E58" s="1">
        <v>4</v>
      </c>
      <c r="F58" s="7">
        <f>VLOOKUP(TB_Vendas[[#This Row],[Código]],Produtos!$B$6:$G$66,6,0)</f>
        <v>92.9</v>
      </c>
      <c r="G58" s="1">
        <f>_xlfn.XMATCH(TB_Vendas[[#This Row],[Categoria]],Desc_Categorias,0)</f>
        <v>3</v>
      </c>
      <c r="H58" s="43">
        <f>VLOOKUP(TB_Vendas[[#This Row],[Qtd]],Desc_TabelaToda,TB_Vendas[[#This Row],[Indice]],TRUE)</f>
        <v>0.2</v>
      </c>
      <c r="I58" s="43" cm="1">
        <f t="array" ref="I58">INDEX(Desc_TabelaToda,MATCH(TB_Vendas[[#This Row],[Qtd]],Desc_Quantidades,1),MATCH(_xlfn.XLOOKUP(TB_Vendas[[#This Row],[Código]],TB_Produtos[[#All],[Código]],TB_Produtos[[#All],[Categoria]]),Desc_Categorias,0))</f>
        <v>0.2</v>
      </c>
      <c r="J58" s="43">
        <f>_xlfn.XLOOKUP(TB_Vendas[[#This Row],[Vendedor]],Vendedores!$A$5:$A$9,Vendedores!$D$5:$D$9)</f>
        <v>0.2</v>
      </c>
      <c r="K58" s="43">
        <f>IF(TB_Vendas[[#This Row],[Desconto 
(Diretão)]]&lt;=TB_Vendas[[#This Row],[Desconto 
(Vendedor)]],TB_Vendas[[#This Row],[Desconto 
(Diretão)]],TB_Vendas[[#This Row],[Desconto 
(Vendedor)]])</f>
        <v>0.2</v>
      </c>
      <c r="L58" s="2">
        <f>TB_Vendas[[#This Row],[Preço Unitário]]*TB_Vendas[[#This Row],[Qtd]]</f>
        <v>371.6</v>
      </c>
      <c r="M58" s="1" t="s">
        <v>113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>
        <f>_xlfn.XLOOKUP(TB_Vendas[[#This Row],[Código]],TB_Produtos[Código],TB_Produtos[Categoria])</f>
        <v>Calçado</v>
      </c>
      <c r="E59" s="1">
        <v>2</v>
      </c>
      <c r="F59" s="7">
        <f>VLOOKUP(TB_Vendas[[#This Row],[Código]],Produtos!$B$6:$G$66,6,0)</f>
        <v>259.89999999999998</v>
      </c>
      <c r="G59" s="1">
        <f>_xlfn.XMATCH(TB_Vendas[[#This Row],[Categoria]],Desc_Categorias,0)</f>
        <v>4</v>
      </c>
      <c r="H59" s="43">
        <f>VLOOKUP(TB_Vendas[[#This Row],[Qtd]],Desc_TabelaToda,TB_Vendas[[#This Row],[Indice]],TRUE)</f>
        <v>0.1</v>
      </c>
      <c r="I59" s="43" cm="1">
        <f t="array" ref="I59">INDEX(Desc_TabelaToda,MATCH(TB_Vendas[[#This Row],[Qtd]],Desc_Quantidades,1),MATCH(_xlfn.XLOOKUP(TB_Vendas[[#This Row],[Código]],TB_Produtos[[#All],[Código]],TB_Produtos[[#All],[Categoria]]),Desc_Categorias,0))</f>
        <v>0.1</v>
      </c>
      <c r="J59" s="43">
        <f>_xlfn.XLOOKUP(TB_Vendas[[#This Row],[Vendedor]],Vendedores!$A$5:$A$9,Vendedores!$D$5:$D$9)</f>
        <v>0.1</v>
      </c>
      <c r="K59" s="43">
        <f>IF(TB_Vendas[[#This Row],[Desconto 
(Diretão)]]&lt;=TB_Vendas[[#This Row],[Desconto 
(Vendedor)]],TB_Vendas[[#This Row],[Desconto 
(Diretão)]],TB_Vendas[[#This Row],[Desconto 
(Vendedor)]])</f>
        <v>0.1</v>
      </c>
      <c r="L59" s="2">
        <f>TB_Vendas[[#This Row],[Preço Unitário]]*TB_Vendas[[#This Row],[Qtd]]</f>
        <v>519.79999999999995</v>
      </c>
      <c r="M59" s="1" t="s">
        <v>115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>
        <f>_xlfn.XLOOKUP(TB_Vendas[[#This Row],[Código]],TB_Produtos[Código],TB_Produtos[Categoria])</f>
        <v>Vestuário</v>
      </c>
      <c r="E60" s="1">
        <v>1</v>
      </c>
      <c r="F60" s="7">
        <f>VLOOKUP(TB_Vendas[[#This Row],[Código]],Produtos!$B$6:$G$66,6,0)</f>
        <v>259.89999999999998</v>
      </c>
      <c r="G60" s="1">
        <f>_xlfn.XMATCH(TB_Vendas[[#This Row],[Categoria]],Desc_Categorias,0)</f>
        <v>3</v>
      </c>
      <c r="H60" s="43">
        <f>VLOOKUP(TB_Vendas[[#This Row],[Qtd]],Desc_TabelaToda,TB_Vendas[[#This Row],[Indice]],TRUE)</f>
        <v>0.1</v>
      </c>
      <c r="I60" s="43" cm="1">
        <f t="array" ref="I60">INDEX(Desc_TabelaToda,MATCH(TB_Vendas[[#This Row],[Qtd]],Desc_Quantidades,1),MATCH(_xlfn.XLOOKUP(TB_Vendas[[#This Row],[Código]],TB_Produtos[[#All],[Código]],TB_Produtos[[#All],[Categoria]]),Desc_Categorias,0))</f>
        <v>0.1</v>
      </c>
      <c r="J60" s="43">
        <f>_xlfn.XLOOKUP(TB_Vendas[[#This Row],[Vendedor]],Vendedores!$A$5:$A$9,Vendedores!$D$5:$D$9)</f>
        <v>0.15</v>
      </c>
      <c r="K60" s="43">
        <f>IF(TB_Vendas[[#This Row],[Desconto 
(Diretão)]]&lt;=TB_Vendas[[#This Row],[Desconto 
(Vendedor)]],TB_Vendas[[#This Row],[Desconto 
(Diretão)]],TB_Vendas[[#This Row],[Desconto 
(Vendedor)]])</f>
        <v>0.1</v>
      </c>
      <c r="L60" s="2">
        <f>TB_Vendas[[#This Row],[Preço Unitário]]*TB_Vendas[[#This Row],[Qtd]]</f>
        <v>259.89999999999998</v>
      </c>
      <c r="M60" s="1" t="s">
        <v>117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>
        <f>_xlfn.XLOOKUP(TB_Vendas[[#This Row],[Código]],TB_Produtos[Código],TB_Produtos[Categoria])</f>
        <v>Vestuário</v>
      </c>
      <c r="E61" s="1">
        <v>5</v>
      </c>
      <c r="F61" s="7">
        <f>VLOOKUP(TB_Vendas[[#This Row],[Código]],Produtos!$B$6:$G$66,6,0)</f>
        <v>42.5</v>
      </c>
      <c r="G61" s="1">
        <f>_xlfn.XMATCH(TB_Vendas[[#This Row],[Categoria]],Desc_Categorias,0)</f>
        <v>3</v>
      </c>
      <c r="H61" s="43">
        <f>VLOOKUP(TB_Vendas[[#This Row],[Qtd]],Desc_TabelaToda,TB_Vendas[[#This Row],[Indice]],TRUE)</f>
        <v>0.25</v>
      </c>
      <c r="I61" s="43" cm="1">
        <f t="array" ref="I61">INDEX(Desc_TabelaToda,MATCH(TB_Vendas[[#This Row],[Qtd]],Desc_Quantidades,1),MATCH(_xlfn.XLOOKUP(TB_Vendas[[#This Row],[Código]],TB_Produtos[[#All],[Código]],TB_Produtos[[#All],[Categoria]]),Desc_Categorias,0))</f>
        <v>0.25</v>
      </c>
      <c r="J61" s="43">
        <f>_xlfn.XLOOKUP(TB_Vendas[[#This Row],[Vendedor]],Vendedores!$A$5:$A$9,Vendedores!$D$5:$D$9)</f>
        <v>0.15</v>
      </c>
      <c r="K61" s="43">
        <f>IF(TB_Vendas[[#This Row],[Desconto 
(Diretão)]]&lt;=TB_Vendas[[#This Row],[Desconto 
(Vendedor)]],TB_Vendas[[#This Row],[Desconto 
(Diretão)]],TB_Vendas[[#This Row],[Desconto 
(Vendedor)]])</f>
        <v>0.15</v>
      </c>
      <c r="L61" s="2">
        <f>TB_Vendas[[#This Row],[Preço Unitário]]*TB_Vendas[[#This Row],[Qtd]]</f>
        <v>212.5</v>
      </c>
      <c r="M61" s="1" t="s">
        <v>117</v>
      </c>
    </row>
    <row r="62" spans="1:13">
      <c r="A62" s="4">
        <f>MONTH(TB_Vendas[[#This Row],[Data]])</f>
        <v>6</v>
      </c>
      <c r="B62" s="3">
        <v>45105</v>
      </c>
      <c r="C62" s="4" t="s">
        <v>96</v>
      </c>
      <c r="D62" s="4" t="str">
        <f>_xlfn.XLOOKUP(TB_Vendas[[#This Row],[Código]],TB_Produtos[Código],TB_Produtos[Categoria])</f>
        <v>Vestuário</v>
      </c>
      <c r="E62" s="1">
        <v>2</v>
      </c>
      <c r="F62" s="7">
        <f>VLOOKUP(TB_Vendas[[#This Row],[Código]],Produtos!$B$6:$G$66,6,0)</f>
        <v>32.9</v>
      </c>
      <c r="G62" s="1">
        <f>_xlfn.XMATCH(TB_Vendas[[#This Row],[Categoria]],Desc_Categorias,0)</f>
        <v>3</v>
      </c>
      <c r="H62" s="43">
        <f>VLOOKUP(TB_Vendas[[#This Row],[Qtd]],Desc_TabelaToda,TB_Vendas[[#This Row],[Indice]],TRUE)</f>
        <v>0.15</v>
      </c>
      <c r="I62" s="43" cm="1">
        <f t="array" ref="I62">INDEX(Desc_TabelaToda,MATCH(TB_Vendas[[#This Row],[Qtd]],Desc_Quantidades,1),MATCH(_xlfn.XLOOKUP(TB_Vendas[[#This Row],[Código]],TB_Produtos[[#All],[Código]],TB_Produtos[[#All],[Categoria]]),Desc_Categorias,0))</f>
        <v>0.15</v>
      </c>
      <c r="J62" s="43">
        <f>_xlfn.XLOOKUP(TB_Vendas[[#This Row],[Vendedor]],Vendedores!$A$5:$A$9,Vendedores!$D$5:$D$9)</f>
        <v>0.15</v>
      </c>
      <c r="K62" s="43">
        <f>IF(TB_Vendas[[#This Row],[Desconto 
(Diretão)]]&lt;=TB_Vendas[[#This Row],[Desconto 
(Vendedor)]],TB_Vendas[[#This Row],[Desconto 
(Diretão)]],TB_Vendas[[#This Row],[Desconto 
(Vendedor)]])</f>
        <v>0.15</v>
      </c>
      <c r="L62" s="2">
        <f>TB_Vendas[[#This Row],[Preço Unitário]]*TB_Vendas[[#This Row],[Qtd]]</f>
        <v>65.8</v>
      </c>
      <c r="M62" s="1" t="s">
        <v>117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>
        <f>_xlfn.XLOOKUP(TB_Vendas[[#This Row],[Código]],TB_Produtos[Código],TB_Produtos[Categoria])</f>
        <v>Vestuário</v>
      </c>
      <c r="E63" s="1">
        <v>3</v>
      </c>
      <c r="F63" s="7">
        <f>VLOOKUP(TB_Vendas[[#This Row],[Código]],Produtos!$B$6:$G$66,6,0)</f>
        <v>92.9</v>
      </c>
      <c r="G63" s="1">
        <f>_xlfn.XMATCH(TB_Vendas[[#This Row],[Categoria]],Desc_Categorias,0)</f>
        <v>3</v>
      </c>
      <c r="H63" s="43">
        <f>VLOOKUP(TB_Vendas[[#This Row],[Qtd]],Desc_TabelaToda,TB_Vendas[[#This Row],[Indice]],TRUE)</f>
        <v>0.2</v>
      </c>
      <c r="I63" s="43" cm="1">
        <f t="array" ref="I63">INDEX(Desc_TabelaToda,MATCH(TB_Vendas[[#This Row],[Qtd]],Desc_Quantidades,1),MATCH(_xlfn.XLOOKUP(TB_Vendas[[#This Row],[Código]],TB_Produtos[[#All],[Código]],TB_Produtos[[#All],[Categoria]]),Desc_Categorias,0))</f>
        <v>0.2</v>
      </c>
      <c r="J63" s="43">
        <f>_xlfn.XLOOKUP(TB_Vendas[[#This Row],[Vendedor]],Vendedores!$A$5:$A$9,Vendedores!$D$5:$D$9)</f>
        <v>0.2</v>
      </c>
      <c r="K63" s="43">
        <f>IF(TB_Vendas[[#This Row],[Desconto 
(Diretão)]]&lt;=TB_Vendas[[#This Row],[Desconto 
(Vendedor)]],TB_Vendas[[#This Row],[Desconto 
(Diretão)]],TB_Vendas[[#This Row],[Desconto 
(Vendedor)]])</f>
        <v>0.2</v>
      </c>
      <c r="L63" s="2">
        <f>TB_Vendas[[#This Row],[Preço Unitário]]*TB_Vendas[[#This Row],[Qtd]]</f>
        <v>278.70000000000005</v>
      </c>
      <c r="M63" s="1" t="s">
        <v>113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>
        <f>_xlfn.XLOOKUP(TB_Vendas[[#This Row],[Código]],TB_Produtos[Código],TB_Produtos[Categoria])</f>
        <v>Vestuário</v>
      </c>
      <c r="E64" s="1">
        <v>10</v>
      </c>
      <c r="F64" s="7">
        <f>VLOOKUP(TB_Vendas[[#This Row],[Código]],Produtos!$B$6:$G$66,6,0)</f>
        <v>25.9</v>
      </c>
      <c r="G64" s="1">
        <f>_xlfn.XMATCH(TB_Vendas[[#This Row],[Categoria]],Desc_Categorias,0)</f>
        <v>3</v>
      </c>
      <c r="H64" s="43">
        <f>VLOOKUP(TB_Vendas[[#This Row],[Qtd]],Desc_TabelaToda,TB_Vendas[[#This Row],[Indice]],TRUE)</f>
        <v>0.3</v>
      </c>
      <c r="I64" s="43" cm="1">
        <f t="array" ref="I64">INDEX(Desc_TabelaToda,MATCH(TB_Vendas[[#This Row],[Qtd]],Desc_Quantidades,1),MATCH(_xlfn.XLOOKUP(TB_Vendas[[#This Row],[Código]],TB_Produtos[[#All],[Código]],TB_Produtos[[#All],[Categoria]]),Desc_Categorias,0))</f>
        <v>0.3</v>
      </c>
      <c r="J64" s="43">
        <f>_xlfn.XLOOKUP(TB_Vendas[[#This Row],[Vendedor]],Vendedores!$A$5:$A$9,Vendedores!$D$5:$D$9)</f>
        <v>0.2</v>
      </c>
      <c r="K64" s="43">
        <f>IF(TB_Vendas[[#This Row],[Desconto 
(Diretão)]]&lt;=TB_Vendas[[#This Row],[Desconto 
(Vendedor)]],TB_Vendas[[#This Row],[Desconto 
(Diretão)]],TB_Vendas[[#This Row],[Desconto 
(Vendedor)]])</f>
        <v>0.2</v>
      </c>
      <c r="L64" s="2">
        <f>TB_Vendas[[#This Row],[Preço Unitário]]*TB_Vendas[[#This Row],[Qtd]]</f>
        <v>259</v>
      </c>
      <c r="M64" s="1" t="s">
        <v>113</v>
      </c>
    </row>
    <row r="65" spans="1:13">
      <c r="A65" s="1">
        <f>MONTH(TB_Vendas[[#This Row],[Data]])</f>
        <v>7</v>
      </c>
      <c r="B65" s="3">
        <v>45112</v>
      </c>
      <c r="C65" s="4" t="s">
        <v>88</v>
      </c>
      <c r="D65" s="4" t="str">
        <f>_xlfn.XLOOKUP(TB_Vendas[[#This Row],[Código]],TB_Produtos[Código],TB_Produtos[Categoria])</f>
        <v>Vestuário</v>
      </c>
      <c r="E65" s="1">
        <v>1</v>
      </c>
      <c r="F65" s="7">
        <f>VLOOKUP(TB_Vendas[[#This Row],[Código]],Produtos!$B$6:$G$66,6,0)</f>
        <v>72.5</v>
      </c>
      <c r="G65" s="1">
        <f>_xlfn.XMATCH(TB_Vendas[[#This Row],[Categoria]],Desc_Categorias,0)</f>
        <v>3</v>
      </c>
      <c r="H65" s="43">
        <f>VLOOKUP(TB_Vendas[[#This Row],[Qtd]],Desc_TabelaToda,TB_Vendas[[#This Row],[Indice]],TRUE)</f>
        <v>0.1</v>
      </c>
      <c r="I65" s="43" cm="1">
        <f t="array" ref="I65">INDEX(Desc_TabelaToda,MATCH(TB_Vendas[[#This Row],[Qtd]],Desc_Quantidades,1),MATCH(_xlfn.XLOOKUP(TB_Vendas[[#This Row],[Código]],TB_Produtos[[#All],[Código]],TB_Produtos[[#All],[Categoria]]),Desc_Categorias,0))</f>
        <v>0.1</v>
      </c>
      <c r="J65" s="43">
        <f>_xlfn.XLOOKUP(TB_Vendas[[#This Row],[Vendedor]],Vendedores!$A$5:$A$9,Vendedores!$D$5:$D$9)</f>
        <v>0.15</v>
      </c>
      <c r="K65" s="43">
        <f>IF(TB_Vendas[[#This Row],[Desconto 
(Diretão)]]&lt;=TB_Vendas[[#This Row],[Desconto 
(Vendedor)]],TB_Vendas[[#This Row],[Desconto 
(Diretão)]],TB_Vendas[[#This Row],[Desconto 
(Vendedor)]])</f>
        <v>0.1</v>
      </c>
      <c r="L65" s="2">
        <f>TB_Vendas[[#This Row],[Preço Unitário]]*TB_Vendas[[#This Row],[Qtd]]</f>
        <v>72.5</v>
      </c>
      <c r="M65" s="1" t="s">
        <v>114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>
        <f>_xlfn.XLOOKUP(TB_Vendas[[#This Row],[Código]],TB_Produtos[Código],TB_Produtos[Categoria])</f>
        <v>Vestuário</v>
      </c>
      <c r="E66" s="1">
        <v>4</v>
      </c>
      <c r="F66" s="7">
        <f>VLOOKUP(TB_Vendas[[#This Row],[Código]],Produtos!$B$6:$G$66,6,0)</f>
        <v>302.89999999999998</v>
      </c>
      <c r="G66" s="1">
        <f>_xlfn.XMATCH(TB_Vendas[[#This Row],[Categoria]],Desc_Categorias,0)</f>
        <v>3</v>
      </c>
      <c r="H66" s="43">
        <f>VLOOKUP(TB_Vendas[[#This Row],[Qtd]],Desc_TabelaToda,TB_Vendas[[#This Row],[Indice]],TRUE)</f>
        <v>0.2</v>
      </c>
      <c r="I66" s="43" cm="1">
        <f t="array" ref="I66">INDEX(Desc_TabelaToda,MATCH(TB_Vendas[[#This Row],[Qtd]],Desc_Quantidades,1),MATCH(_xlfn.XLOOKUP(TB_Vendas[[#This Row],[Código]],TB_Produtos[[#All],[Código]],TB_Produtos[[#All],[Categoria]]),Desc_Categorias,0))</f>
        <v>0.2</v>
      </c>
      <c r="J66" s="43">
        <f>_xlfn.XLOOKUP(TB_Vendas[[#This Row],[Vendedor]],Vendedores!$A$5:$A$9,Vendedores!$D$5:$D$9)</f>
        <v>0.15</v>
      </c>
      <c r="K66" s="43">
        <f>IF(TB_Vendas[[#This Row],[Desconto 
(Diretão)]]&lt;=TB_Vendas[[#This Row],[Desconto 
(Vendedor)]],TB_Vendas[[#This Row],[Desconto 
(Diretão)]],TB_Vendas[[#This Row],[Desconto 
(Vendedor)]])</f>
        <v>0.15</v>
      </c>
      <c r="L66" s="2">
        <f>TB_Vendas[[#This Row],[Preço Unitário]]*TB_Vendas[[#This Row],[Qtd]]</f>
        <v>1211.5999999999999</v>
      </c>
      <c r="M66" s="1" t="s">
        <v>117</v>
      </c>
    </row>
    <row r="67" spans="1:13">
      <c r="A67" s="1">
        <f>MONTH(TB_Vendas[[#This Row],[Data]])</f>
        <v>7</v>
      </c>
      <c r="B67" s="3">
        <v>45114</v>
      </c>
      <c r="C67" s="4" t="s">
        <v>93</v>
      </c>
      <c r="D67" s="4" t="str">
        <f>_xlfn.XLOOKUP(TB_Vendas[[#This Row],[Código]],TB_Produtos[Código],TB_Produtos[Categoria])</f>
        <v>Vestuário</v>
      </c>
      <c r="E67" s="1">
        <v>8</v>
      </c>
      <c r="F67" s="7">
        <f>VLOOKUP(TB_Vendas[[#This Row],[Código]],Produtos!$B$6:$G$66,6,0)</f>
        <v>289.89999999999998</v>
      </c>
      <c r="G67" s="1">
        <f>_xlfn.XMATCH(TB_Vendas[[#This Row],[Categoria]],Desc_Categorias,0)</f>
        <v>3</v>
      </c>
      <c r="H67" s="43">
        <f>VLOOKUP(TB_Vendas[[#This Row],[Qtd]],Desc_TabelaToda,TB_Vendas[[#This Row],[Indice]],TRUE)</f>
        <v>0.25</v>
      </c>
      <c r="I67" s="43" cm="1">
        <f t="array" ref="I67">INDEX(Desc_TabelaToda,MATCH(TB_Vendas[[#This Row],[Qtd]],Desc_Quantidades,1),MATCH(_xlfn.XLOOKUP(TB_Vendas[[#This Row],[Código]],TB_Produtos[[#All],[Código]],TB_Produtos[[#All],[Categoria]]),Desc_Categorias,0))</f>
        <v>0.25</v>
      </c>
      <c r="J67" s="43">
        <f>_xlfn.XLOOKUP(TB_Vendas[[#This Row],[Vendedor]],Vendedores!$A$5:$A$9,Vendedores!$D$5:$D$9)</f>
        <v>0.2</v>
      </c>
      <c r="K67" s="43">
        <f>IF(TB_Vendas[[#This Row],[Desconto 
(Diretão)]]&lt;=TB_Vendas[[#This Row],[Desconto 
(Vendedor)]],TB_Vendas[[#This Row],[Desconto 
(Diretão)]],TB_Vendas[[#This Row],[Desconto 
(Vendedor)]])</f>
        <v>0.2</v>
      </c>
      <c r="L67" s="2">
        <f>TB_Vendas[[#This Row],[Preço Unitário]]*TB_Vendas[[#This Row],[Qtd]]</f>
        <v>2319.1999999999998</v>
      </c>
      <c r="M67" s="1" t="s">
        <v>113</v>
      </c>
    </row>
    <row r="68" spans="1:13">
      <c r="A68" s="1">
        <f>MONTH(TB_Vendas[[#This Row],[Data]])</f>
        <v>7</v>
      </c>
      <c r="B68" s="3">
        <v>45119</v>
      </c>
      <c r="C68" s="4" t="s">
        <v>84</v>
      </c>
      <c r="D68" s="4" t="str">
        <f>_xlfn.XLOOKUP(TB_Vendas[[#This Row],[Código]],TB_Produtos[Código],TB_Produtos[Categoria])</f>
        <v>Vestuário</v>
      </c>
      <c r="E68" s="1">
        <v>2</v>
      </c>
      <c r="F68" s="7">
        <f>VLOOKUP(TB_Vendas[[#This Row],[Código]],Produtos!$B$6:$G$66,6,0)</f>
        <v>54.9</v>
      </c>
      <c r="G68" s="1">
        <f>_xlfn.XMATCH(TB_Vendas[[#This Row],[Categoria]],Desc_Categorias,0)</f>
        <v>3</v>
      </c>
      <c r="H68" s="43">
        <f>VLOOKUP(TB_Vendas[[#This Row],[Qtd]],Desc_TabelaToda,TB_Vendas[[#This Row],[Indice]],TRUE)</f>
        <v>0.15</v>
      </c>
      <c r="I68" s="43" cm="1">
        <f t="array" ref="I68">INDEX(Desc_TabelaToda,MATCH(TB_Vendas[[#This Row],[Qtd]],Desc_Quantidades,1),MATCH(_xlfn.XLOOKUP(TB_Vendas[[#This Row],[Código]],TB_Produtos[[#All],[Código]],TB_Produtos[[#All],[Categoria]]),Desc_Categorias,0))</f>
        <v>0.15</v>
      </c>
      <c r="J68" s="43">
        <f>_xlfn.XLOOKUP(TB_Vendas[[#This Row],[Vendedor]],Vendedores!$A$5:$A$9,Vendedores!$D$5:$D$9)</f>
        <v>0.2</v>
      </c>
      <c r="K68" s="43">
        <f>IF(TB_Vendas[[#This Row],[Desconto 
(Diretão)]]&lt;=TB_Vendas[[#This Row],[Desconto 
(Vendedor)]],TB_Vendas[[#This Row],[Desconto 
(Diretão)]],TB_Vendas[[#This Row],[Desconto 
(Vendedor)]])</f>
        <v>0.15</v>
      </c>
      <c r="L68" s="2">
        <f>TB_Vendas[[#This Row],[Preço Unitário]]*TB_Vendas[[#This Row],[Qtd]]</f>
        <v>109.8</v>
      </c>
      <c r="M68" s="1" t="s">
        <v>113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>
        <f>_xlfn.XLOOKUP(TB_Vendas[[#This Row],[Código]],TB_Produtos[Código],TB_Produtos[Categoria])</f>
        <v>Vestuário</v>
      </c>
      <c r="E69" s="1">
        <v>2</v>
      </c>
      <c r="F69" s="7">
        <f>VLOOKUP(TB_Vendas[[#This Row],[Código]],Produtos!$B$6:$G$66,6,0)</f>
        <v>39.9</v>
      </c>
      <c r="G69" s="1">
        <f>_xlfn.XMATCH(TB_Vendas[[#This Row],[Categoria]],Desc_Categorias,0)</f>
        <v>3</v>
      </c>
      <c r="H69" s="43">
        <f>VLOOKUP(TB_Vendas[[#This Row],[Qtd]],Desc_TabelaToda,TB_Vendas[[#This Row],[Indice]],TRUE)</f>
        <v>0.15</v>
      </c>
      <c r="I69" s="43" cm="1">
        <f t="array" ref="I69">INDEX(Desc_TabelaToda,MATCH(TB_Vendas[[#This Row],[Qtd]],Desc_Quantidades,1),MATCH(_xlfn.XLOOKUP(TB_Vendas[[#This Row],[Código]],TB_Produtos[[#All],[Código]],TB_Produtos[[#All],[Categoria]]),Desc_Categorias,0))</f>
        <v>0.15</v>
      </c>
      <c r="J69" s="43">
        <f>_xlfn.XLOOKUP(TB_Vendas[[#This Row],[Vendedor]],Vendedores!$A$5:$A$9,Vendedores!$D$5:$D$9)</f>
        <v>0.15</v>
      </c>
      <c r="K69" s="43">
        <f>IF(TB_Vendas[[#This Row],[Desconto 
(Diretão)]]&lt;=TB_Vendas[[#This Row],[Desconto 
(Vendedor)]],TB_Vendas[[#This Row],[Desconto 
(Diretão)]],TB_Vendas[[#This Row],[Desconto 
(Vendedor)]])</f>
        <v>0.15</v>
      </c>
      <c r="L69" s="2">
        <f>TB_Vendas[[#This Row],[Preço Unitário]]*TB_Vendas[[#This Row],[Qtd]]</f>
        <v>79.8</v>
      </c>
      <c r="M69" s="1" t="s">
        <v>117</v>
      </c>
    </row>
    <row r="70" spans="1:13">
      <c r="A70" s="1">
        <f>MONTH(TB_Vendas[[#This Row],[Data]])</f>
        <v>7</v>
      </c>
      <c r="B70" s="3">
        <v>45124</v>
      </c>
      <c r="C70" s="4" t="s">
        <v>85</v>
      </c>
      <c r="D70" s="4" t="str">
        <f>_xlfn.XLOOKUP(TB_Vendas[[#This Row],[Código]],TB_Produtos[Código],TB_Produtos[Categoria])</f>
        <v>Vestuário</v>
      </c>
      <c r="E70" s="1">
        <v>7</v>
      </c>
      <c r="F70" s="7">
        <f>VLOOKUP(TB_Vendas[[#This Row],[Código]],Produtos!$B$6:$G$66,6,0)</f>
        <v>54.9</v>
      </c>
      <c r="G70" s="1">
        <f>_xlfn.XMATCH(TB_Vendas[[#This Row],[Categoria]],Desc_Categorias,0)</f>
        <v>3</v>
      </c>
      <c r="H70" s="43">
        <f>VLOOKUP(TB_Vendas[[#This Row],[Qtd]],Desc_TabelaToda,TB_Vendas[[#This Row],[Indice]],TRUE)</f>
        <v>0.25</v>
      </c>
      <c r="I70" s="43" cm="1">
        <f t="array" ref="I70">INDEX(Desc_TabelaToda,MATCH(TB_Vendas[[#This Row],[Qtd]],Desc_Quantidades,1),MATCH(_xlfn.XLOOKUP(TB_Vendas[[#This Row],[Código]],TB_Produtos[[#All],[Código]],TB_Produtos[[#All],[Categoria]]),Desc_Categorias,0))</f>
        <v>0.25</v>
      </c>
      <c r="J70" s="43">
        <f>_xlfn.XLOOKUP(TB_Vendas[[#This Row],[Vendedor]],Vendedores!$A$5:$A$9,Vendedores!$D$5:$D$9)</f>
        <v>0.2</v>
      </c>
      <c r="K70" s="43">
        <f>IF(TB_Vendas[[#This Row],[Desconto 
(Diretão)]]&lt;=TB_Vendas[[#This Row],[Desconto 
(Vendedor)]],TB_Vendas[[#This Row],[Desconto 
(Diretão)]],TB_Vendas[[#This Row],[Desconto 
(Vendedor)]])</f>
        <v>0.2</v>
      </c>
      <c r="L70" s="2">
        <f>TB_Vendas[[#This Row],[Preço Unitário]]*TB_Vendas[[#This Row],[Qtd]]</f>
        <v>384.3</v>
      </c>
      <c r="M70" s="1" t="s">
        <v>116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>
        <f>_xlfn.XLOOKUP(TB_Vendas[[#This Row],[Código]],TB_Produtos[Código],TB_Produtos[Categoria])</f>
        <v>Vestuário</v>
      </c>
      <c r="E71" s="1">
        <v>4</v>
      </c>
      <c r="F71" s="7">
        <f>VLOOKUP(TB_Vendas[[#This Row],[Código]],Produtos!$B$6:$G$66,6,0)</f>
        <v>299.89999999999998</v>
      </c>
      <c r="G71" s="1">
        <f>_xlfn.XMATCH(TB_Vendas[[#This Row],[Categoria]],Desc_Categorias,0)</f>
        <v>3</v>
      </c>
      <c r="H71" s="43">
        <f>VLOOKUP(TB_Vendas[[#This Row],[Qtd]],Desc_TabelaToda,TB_Vendas[[#This Row],[Indice]],TRUE)</f>
        <v>0.2</v>
      </c>
      <c r="I71" s="43" cm="1">
        <f t="array" ref="I71">INDEX(Desc_TabelaToda,MATCH(TB_Vendas[[#This Row],[Qtd]],Desc_Quantidades,1),MATCH(_xlfn.XLOOKUP(TB_Vendas[[#This Row],[Código]],TB_Produtos[[#All],[Código]],TB_Produtos[[#All],[Categoria]]),Desc_Categorias,0))</f>
        <v>0.2</v>
      </c>
      <c r="J71" s="43">
        <f>_xlfn.XLOOKUP(TB_Vendas[[#This Row],[Vendedor]],Vendedores!$A$5:$A$9,Vendedores!$D$5:$D$9)</f>
        <v>0.15</v>
      </c>
      <c r="K71" s="43">
        <f>IF(TB_Vendas[[#This Row],[Desconto 
(Diretão)]]&lt;=TB_Vendas[[#This Row],[Desconto 
(Vendedor)]],TB_Vendas[[#This Row],[Desconto 
(Diretão)]],TB_Vendas[[#This Row],[Desconto 
(Vendedor)]])</f>
        <v>0.15</v>
      </c>
      <c r="L71" s="2">
        <f>TB_Vendas[[#This Row],[Preço Unitário]]*TB_Vendas[[#This Row],[Qtd]]</f>
        <v>1199.5999999999999</v>
      </c>
      <c r="M71" s="1" t="s">
        <v>117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>
        <f>_xlfn.XLOOKUP(TB_Vendas[[#This Row],[Código]],TB_Produtos[Código],TB_Produtos[Categoria])</f>
        <v>Vestuário</v>
      </c>
      <c r="E72" s="1">
        <v>3</v>
      </c>
      <c r="F72" s="7">
        <f>VLOOKUP(TB_Vendas[[#This Row],[Código]],Produtos!$B$6:$G$66,6,0)</f>
        <v>259.89999999999998</v>
      </c>
      <c r="G72" s="1">
        <f>_xlfn.XMATCH(TB_Vendas[[#This Row],[Categoria]],Desc_Categorias,0)</f>
        <v>3</v>
      </c>
      <c r="H72" s="43">
        <f>VLOOKUP(TB_Vendas[[#This Row],[Qtd]],Desc_TabelaToda,TB_Vendas[[#This Row],[Indice]],TRUE)</f>
        <v>0.2</v>
      </c>
      <c r="I72" s="43" cm="1">
        <f t="array" ref="I72">INDEX(Desc_TabelaToda,MATCH(TB_Vendas[[#This Row],[Qtd]],Desc_Quantidades,1),MATCH(_xlfn.XLOOKUP(TB_Vendas[[#This Row],[Código]],TB_Produtos[[#All],[Código]],TB_Produtos[[#All],[Categoria]]),Desc_Categorias,0))</f>
        <v>0.2</v>
      </c>
      <c r="J72" s="43">
        <f>_xlfn.XLOOKUP(TB_Vendas[[#This Row],[Vendedor]],Vendedores!$A$5:$A$9,Vendedores!$D$5:$D$9)</f>
        <v>0.2</v>
      </c>
      <c r="K72" s="43">
        <f>IF(TB_Vendas[[#This Row],[Desconto 
(Diretão)]]&lt;=TB_Vendas[[#This Row],[Desconto 
(Vendedor)]],TB_Vendas[[#This Row],[Desconto 
(Diretão)]],TB_Vendas[[#This Row],[Desconto 
(Vendedor)]])</f>
        <v>0.2</v>
      </c>
      <c r="L72" s="2">
        <f>TB_Vendas[[#This Row],[Preço Unitário]]*TB_Vendas[[#This Row],[Qtd]]</f>
        <v>779.69999999999993</v>
      </c>
      <c r="M72" s="1" t="s">
        <v>116</v>
      </c>
    </row>
    <row r="73" spans="1:13">
      <c r="A73" s="1">
        <f>MONTH(TB_Vendas[[#This Row],[Data]])</f>
        <v>7</v>
      </c>
      <c r="B73" s="3">
        <v>45135</v>
      </c>
      <c r="C73" s="4" t="s">
        <v>88</v>
      </c>
      <c r="D73" s="4" t="str">
        <f>_xlfn.XLOOKUP(TB_Vendas[[#This Row],[Código]],TB_Produtos[Código],TB_Produtos[Categoria])</f>
        <v>Vestuário</v>
      </c>
      <c r="E73" s="1">
        <v>9</v>
      </c>
      <c r="F73" s="7">
        <f>VLOOKUP(TB_Vendas[[#This Row],[Código]],Produtos!$B$6:$G$66,6,0)</f>
        <v>72.5</v>
      </c>
      <c r="G73" s="1">
        <f>_xlfn.XMATCH(TB_Vendas[[#This Row],[Categoria]],Desc_Categorias,0)</f>
        <v>3</v>
      </c>
      <c r="H73" s="43">
        <f>VLOOKUP(TB_Vendas[[#This Row],[Qtd]],Desc_TabelaToda,TB_Vendas[[#This Row],[Indice]],TRUE)</f>
        <v>0.25</v>
      </c>
      <c r="I73" s="43" cm="1">
        <f t="array" ref="I73">INDEX(Desc_TabelaToda,MATCH(TB_Vendas[[#This Row],[Qtd]],Desc_Quantidades,1),MATCH(_xlfn.XLOOKUP(TB_Vendas[[#This Row],[Código]],TB_Produtos[[#All],[Código]],TB_Produtos[[#All],[Categoria]]),Desc_Categorias,0))</f>
        <v>0.25</v>
      </c>
      <c r="J73" s="43">
        <f>_xlfn.XLOOKUP(TB_Vendas[[#This Row],[Vendedor]],Vendedores!$A$5:$A$9,Vendedores!$D$5:$D$9)</f>
        <v>0.1</v>
      </c>
      <c r="K73" s="43">
        <f>IF(TB_Vendas[[#This Row],[Desconto 
(Diretão)]]&lt;=TB_Vendas[[#This Row],[Desconto 
(Vendedor)]],TB_Vendas[[#This Row],[Desconto 
(Diretão)]],TB_Vendas[[#This Row],[Desconto 
(Vendedor)]])</f>
        <v>0.1</v>
      </c>
      <c r="L73" s="2">
        <f>TB_Vendas[[#This Row],[Preço Unitário]]*TB_Vendas[[#This Row],[Qtd]]</f>
        <v>652.5</v>
      </c>
      <c r="M73" s="1" t="s">
        <v>115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>
        <f>_xlfn.XLOOKUP(TB_Vendas[[#This Row],[Código]],TB_Produtos[Código],TB_Produtos[Categoria])</f>
        <v>Vestuário</v>
      </c>
      <c r="E74" s="1">
        <v>4</v>
      </c>
      <c r="F74" s="7">
        <f>VLOOKUP(TB_Vendas[[#This Row],[Código]],Produtos!$B$6:$G$66,6,0)</f>
        <v>300</v>
      </c>
      <c r="G74" s="1">
        <f>_xlfn.XMATCH(TB_Vendas[[#This Row],[Categoria]],Desc_Categorias,0)</f>
        <v>3</v>
      </c>
      <c r="H74" s="43">
        <f>VLOOKUP(TB_Vendas[[#This Row],[Qtd]],Desc_TabelaToda,TB_Vendas[[#This Row],[Indice]],TRUE)</f>
        <v>0.2</v>
      </c>
      <c r="I74" s="43" cm="1">
        <f t="array" ref="I74">INDEX(Desc_TabelaToda,MATCH(TB_Vendas[[#This Row],[Qtd]],Desc_Quantidades,1),MATCH(_xlfn.XLOOKUP(TB_Vendas[[#This Row],[Código]],TB_Produtos[[#All],[Código]],TB_Produtos[[#All],[Categoria]]),Desc_Categorias,0))</f>
        <v>0.2</v>
      </c>
      <c r="J74" s="43">
        <f>_xlfn.XLOOKUP(TB_Vendas[[#This Row],[Vendedor]],Vendedores!$A$5:$A$9,Vendedores!$D$5:$D$9)</f>
        <v>0.15</v>
      </c>
      <c r="K74" s="43">
        <f>IF(TB_Vendas[[#This Row],[Desconto 
(Diretão)]]&lt;=TB_Vendas[[#This Row],[Desconto 
(Vendedor)]],TB_Vendas[[#This Row],[Desconto 
(Diretão)]],TB_Vendas[[#This Row],[Desconto 
(Vendedor)]])</f>
        <v>0.15</v>
      </c>
      <c r="L74" s="2">
        <f>TB_Vendas[[#This Row],[Preço Unitário]]*TB_Vendas[[#This Row],[Qtd]]</f>
        <v>1200</v>
      </c>
      <c r="M74" s="1" t="s">
        <v>117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>
        <f>_xlfn.XLOOKUP(TB_Vendas[[#This Row],[Código]],TB_Produtos[Código],TB_Produtos[Categoria])</f>
        <v>Vestuário</v>
      </c>
      <c r="E75" s="1">
        <v>9</v>
      </c>
      <c r="F75" s="7">
        <f>VLOOKUP(TB_Vendas[[#This Row],[Código]],Produtos!$B$6:$G$66,6,0)</f>
        <v>65.900000000000006</v>
      </c>
      <c r="G75" s="1">
        <f>_xlfn.XMATCH(TB_Vendas[[#This Row],[Categoria]],Desc_Categorias,0)</f>
        <v>3</v>
      </c>
      <c r="H75" s="43">
        <f>VLOOKUP(TB_Vendas[[#This Row],[Qtd]],Desc_TabelaToda,TB_Vendas[[#This Row],[Indice]],TRUE)</f>
        <v>0.25</v>
      </c>
      <c r="I75" s="43" cm="1">
        <f t="array" ref="I75">INDEX(Desc_TabelaToda,MATCH(TB_Vendas[[#This Row],[Qtd]],Desc_Quantidades,1),MATCH(_xlfn.XLOOKUP(TB_Vendas[[#This Row],[Código]],TB_Produtos[[#All],[Código]],TB_Produtos[[#All],[Categoria]]),Desc_Categorias,0))</f>
        <v>0.25</v>
      </c>
      <c r="J75" s="43">
        <f>_xlfn.XLOOKUP(TB_Vendas[[#This Row],[Vendedor]],Vendedores!$A$5:$A$9,Vendedores!$D$5:$D$9)</f>
        <v>0.15</v>
      </c>
      <c r="K75" s="43">
        <f>IF(TB_Vendas[[#This Row],[Desconto 
(Diretão)]]&lt;=TB_Vendas[[#This Row],[Desconto 
(Vendedor)]],TB_Vendas[[#This Row],[Desconto 
(Diretão)]],TB_Vendas[[#This Row],[Desconto 
(Vendedor)]])</f>
        <v>0.15</v>
      </c>
      <c r="L75" s="2">
        <f>TB_Vendas[[#This Row],[Preço Unitário]]*TB_Vendas[[#This Row],[Qtd]]</f>
        <v>593.1</v>
      </c>
      <c r="M75" s="1" t="s">
        <v>117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>
        <f>_xlfn.XLOOKUP(TB_Vendas[[#This Row],[Código]],TB_Produtos[Código],TB_Produtos[Categoria])</f>
        <v>Vestuário</v>
      </c>
      <c r="E76" s="1">
        <v>10</v>
      </c>
      <c r="F76" s="7">
        <f>VLOOKUP(TB_Vendas[[#This Row],[Código]],Produtos!$B$6:$G$66,6,0)</f>
        <v>92.9</v>
      </c>
      <c r="G76" s="1">
        <f>_xlfn.XMATCH(TB_Vendas[[#This Row],[Categoria]],Desc_Categorias,0)</f>
        <v>3</v>
      </c>
      <c r="H76" s="43">
        <f>VLOOKUP(TB_Vendas[[#This Row],[Qtd]],Desc_TabelaToda,TB_Vendas[[#This Row],[Indice]],TRUE)</f>
        <v>0.3</v>
      </c>
      <c r="I76" s="43" cm="1">
        <f t="array" ref="I76">INDEX(Desc_TabelaToda,MATCH(TB_Vendas[[#This Row],[Qtd]],Desc_Quantidades,1),MATCH(_xlfn.XLOOKUP(TB_Vendas[[#This Row],[Código]],TB_Produtos[[#All],[Código]],TB_Produtos[[#All],[Categoria]]),Desc_Categorias,0))</f>
        <v>0.3</v>
      </c>
      <c r="J76" s="43">
        <f>_xlfn.XLOOKUP(TB_Vendas[[#This Row],[Vendedor]],Vendedores!$A$5:$A$9,Vendedores!$D$5:$D$9)</f>
        <v>0.15</v>
      </c>
      <c r="K76" s="43">
        <f>IF(TB_Vendas[[#This Row],[Desconto 
(Diretão)]]&lt;=TB_Vendas[[#This Row],[Desconto 
(Vendedor)]],TB_Vendas[[#This Row],[Desconto 
(Diretão)]],TB_Vendas[[#This Row],[Desconto 
(Vendedor)]])</f>
        <v>0.15</v>
      </c>
      <c r="L76" s="2">
        <f>TB_Vendas[[#This Row],[Preço Unitário]]*TB_Vendas[[#This Row],[Qtd]]</f>
        <v>929</v>
      </c>
      <c r="M76" s="1" t="s">
        <v>117</v>
      </c>
    </row>
    <row r="77" spans="1:13">
      <c r="A77" s="1">
        <f>MONTH(TB_Vendas[[#This Row],[Data]])</f>
        <v>8</v>
      </c>
      <c r="B77" s="3">
        <v>45144</v>
      </c>
      <c r="C77" s="4" t="s">
        <v>105</v>
      </c>
      <c r="D77" s="4" t="str">
        <f>_xlfn.XLOOKUP(TB_Vendas[[#This Row],[Código]],TB_Produtos[Código],TB_Produtos[Categoria])</f>
        <v>Calçado</v>
      </c>
      <c r="E77" s="1">
        <v>1</v>
      </c>
      <c r="F77" s="7">
        <f>VLOOKUP(TB_Vendas[[#This Row],[Código]],Produtos!$B$6:$G$66,6,0)</f>
        <v>89.9</v>
      </c>
      <c r="G77" s="1">
        <f>_xlfn.XMATCH(TB_Vendas[[#This Row],[Categoria]],Desc_Categorias,0)</f>
        <v>4</v>
      </c>
      <c r="H77" s="43">
        <f>VLOOKUP(TB_Vendas[[#This Row],[Qtd]],Desc_TabelaToda,TB_Vendas[[#This Row],[Indice]],TRUE)</f>
        <v>0</v>
      </c>
      <c r="I77" s="43" cm="1">
        <f t="array" ref="I77">INDEX(Desc_TabelaToda,MATCH(TB_Vendas[[#This Row],[Qtd]],Desc_Quantidades,1),MATCH(_xlfn.XLOOKUP(TB_Vendas[[#This Row],[Código]],TB_Produtos[[#All],[Código]],TB_Produtos[[#All],[Categoria]]),Desc_Categorias,0))</f>
        <v>0</v>
      </c>
      <c r="J77" s="43">
        <f>_xlfn.XLOOKUP(TB_Vendas[[#This Row],[Vendedor]],Vendedores!$A$5:$A$9,Vendedores!$D$5:$D$9)</f>
        <v>0.1</v>
      </c>
      <c r="K77" s="43">
        <f>IF(TB_Vendas[[#This Row],[Desconto 
(Diretão)]]&lt;=TB_Vendas[[#This Row],[Desconto 
(Vendedor)]],TB_Vendas[[#This Row],[Desconto 
(Diretão)]],TB_Vendas[[#This Row],[Desconto 
(Vendedor)]])</f>
        <v>0</v>
      </c>
      <c r="L77" s="2">
        <f>TB_Vendas[[#This Row],[Preço Unitário]]*TB_Vendas[[#This Row],[Qtd]]</f>
        <v>89.9</v>
      </c>
      <c r="M77" s="1" t="s">
        <v>115</v>
      </c>
    </row>
    <row r="78" spans="1:13">
      <c r="A78" s="1">
        <f>MONTH(TB_Vendas[[#This Row],[Data]])</f>
        <v>8</v>
      </c>
      <c r="B78" s="3">
        <v>45145</v>
      </c>
      <c r="C78" s="4" t="s">
        <v>98</v>
      </c>
      <c r="D78" s="4" t="str">
        <f>_xlfn.XLOOKUP(TB_Vendas[[#This Row],[Código]],TB_Produtos[Código],TB_Produtos[Categoria])</f>
        <v>Vestuário</v>
      </c>
      <c r="E78" s="1">
        <v>2</v>
      </c>
      <c r="F78" s="7">
        <f>VLOOKUP(TB_Vendas[[#This Row],[Código]],Produtos!$B$6:$G$66,6,0)</f>
        <v>49.9</v>
      </c>
      <c r="G78" s="1">
        <f>_xlfn.XMATCH(TB_Vendas[[#This Row],[Categoria]],Desc_Categorias,0)</f>
        <v>3</v>
      </c>
      <c r="H78" s="43">
        <f>VLOOKUP(TB_Vendas[[#This Row],[Qtd]],Desc_TabelaToda,TB_Vendas[[#This Row],[Indice]],TRUE)</f>
        <v>0.15</v>
      </c>
      <c r="I78" s="43" cm="1">
        <f t="array" ref="I78">INDEX(Desc_TabelaToda,MATCH(TB_Vendas[[#This Row],[Qtd]],Desc_Quantidades,1),MATCH(_xlfn.XLOOKUP(TB_Vendas[[#This Row],[Código]],TB_Produtos[[#All],[Código]],TB_Produtos[[#All],[Categoria]]),Desc_Categorias,0))</f>
        <v>0.15</v>
      </c>
      <c r="J78" s="43">
        <f>_xlfn.XLOOKUP(TB_Vendas[[#This Row],[Vendedor]],Vendedores!$A$5:$A$9,Vendedores!$D$5:$D$9)</f>
        <v>0.1</v>
      </c>
      <c r="K78" s="43">
        <f>IF(TB_Vendas[[#This Row],[Desconto 
(Diretão)]]&lt;=TB_Vendas[[#This Row],[Desconto 
(Vendedor)]],TB_Vendas[[#This Row],[Desconto 
(Diretão)]],TB_Vendas[[#This Row],[Desconto 
(Vendedor)]])</f>
        <v>0.1</v>
      </c>
      <c r="L78" s="2">
        <f>TB_Vendas[[#This Row],[Preço Unitário]]*TB_Vendas[[#This Row],[Qtd]]</f>
        <v>99.8</v>
      </c>
      <c r="M78" s="1" t="s">
        <v>115</v>
      </c>
    </row>
    <row r="79" spans="1:13">
      <c r="A79" s="1">
        <f>MONTH(TB_Vendas[[#This Row],[Data]])</f>
        <v>8</v>
      </c>
      <c r="B79" s="3">
        <v>45146</v>
      </c>
      <c r="C79" s="4" t="s">
        <v>83</v>
      </c>
      <c r="D79" s="4" t="str">
        <f>_xlfn.XLOOKUP(TB_Vendas[[#This Row],[Código]],TB_Produtos[Código],TB_Produtos[Categoria])</f>
        <v>Vestuário</v>
      </c>
      <c r="E79" s="1">
        <v>8</v>
      </c>
      <c r="F79" s="7">
        <f>VLOOKUP(TB_Vendas[[#This Row],[Código]],Produtos!$B$6:$G$66,6,0)</f>
        <v>70</v>
      </c>
      <c r="G79" s="1">
        <f>_xlfn.XMATCH(TB_Vendas[[#This Row],[Categoria]],Desc_Categorias,0)</f>
        <v>3</v>
      </c>
      <c r="H79" s="43">
        <f>VLOOKUP(TB_Vendas[[#This Row],[Qtd]],Desc_TabelaToda,TB_Vendas[[#This Row],[Indice]],TRUE)</f>
        <v>0.25</v>
      </c>
      <c r="I79" s="43" cm="1">
        <f t="array" ref="I79">INDEX(Desc_TabelaToda,MATCH(TB_Vendas[[#This Row],[Qtd]],Desc_Quantidades,1),MATCH(_xlfn.XLOOKUP(TB_Vendas[[#This Row],[Código]],TB_Produtos[[#All],[Código]],TB_Produtos[[#All],[Categoria]]),Desc_Categorias,0))</f>
        <v>0.25</v>
      </c>
      <c r="J79" s="43">
        <f>_xlfn.XLOOKUP(TB_Vendas[[#This Row],[Vendedor]],Vendedores!$A$5:$A$9,Vendedores!$D$5:$D$9)</f>
        <v>0.15</v>
      </c>
      <c r="K79" s="43">
        <f>IF(TB_Vendas[[#This Row],[Desconto 
(Diretão)]]&lt;=TB_Vendas[[#This Row],[Desconto 
(Vendedor)]],TB_Vendas[[#This Row],[Desconto 
(Diretão)]],TB_Vendas[[#This Row],[Desconto 
(Vendedor)]])</f>
        <v>0.15</v>
      </c>
      <c r="L79" s="2">
        <f>TB_Vendas[[#This Row],[Preço Unitário]]*TB_Vendas[[#This Row],[Qtd]]</f>
        <v>560</v>
      </c>
      <c r="M79" s="1" t="s">
        <v>114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>
        <f>_xlfn.XLOOKUP(TB_Vendas[[#This Row],[Código]],TB_Produtos[Código],TB_Produtos[Categoria])</f>
        <v>Vestuário</v>
      </c>
      <c r="E80" s="1">
        <v>5</v>
      </c>
      <c r="F80" s="7">
        <f>VLOOKUP(TB_Vendas[[#This Row],[Código]],Produtos!$B$6:$G$66,6,0)</f>
        <v>46.9</v>
      </c>
      <c r="G80" s="1">
        <f>_xlfn.XMATCH(TB_Vendas[[#This Row],[Categoria]],Desc_Categorias,0)</f>
        <v>3</v>
      </c>
      <c r="H80" s="43">
        <f>VLOOKUP(TB_Vendas[[#This Row],[Qtd]],Desc_TabelaToda,TB_Vendas[[#This Row],[Indice]],TRUE)</f>
        <v>0.25</v>
      </c>
      <c r="I80" s="43" cm="1">
        <f t="array" ref="I80">INDEX(Desc_TabelaToda,MATCH(TB_Vendas[[#This Row],[Qtd]],Desc_Quantidades,1),MATCH(_xlfn.XLOOKUP(TB_Vendas[[#This Row],[Código]],TB_Produtos[[#All],[Código]],TB_Produtos[[#All],[Categoria]]),Desc_Categorias,0))</f>
        <v>0.25</v>
      </c>
      <c r="J80" s="43">
        <f>_xlfn.XLOOKUP(TB_Vendas[[#This Row],[Vendedor]],Vendedores!$A$5:$A$9,Vendedores!$D$5:$D$9)</f>
        <v>0.1</v>
      </c>
      <c r="K80" s="43">
        <f>IF(TB_Vendas[[#This Row],[Desconto 
(Diretão)]]&lt;=TB_Vendas[[#This Row],[Desconto 
(Vendedor)]],TB_Vendas[[#This Row],[Desconto 
(Diretão)]],TB_Vendas[[#This Row],[Desconto 
(Vendedor)]])</f>
        <v>0.1</v>
      </c>
      <c r="L80" s="2">
        <f>TB_Vendas[[#This Row],[Preço Unitário]]*TB_Vendas[[#This Row],[Qtd]]</f>
        <v>234.5</v>
      </c>
      <c r="M80" s="1" t="s">
        <v>115</v>
      </c>
    </row>
    <row r="81" spans="1:13">
      <c r="A81" s="1">
        <f>MONTH(TB_Vendas[[#This Row],[Data]])</f>
        <v>8</v>
      </c>
      <c r="B81" s="3">
        <v>45148</v>
      </c>
      <c r="C81" s="4" t="s">
        <v>92</v>
      </c>
      <c r="D81" s="4" t="str">
        <f>_xlfn.XLOOKUP(TB_Vendas[[#This Row],[Código]],TB_Produtos[Código],TB_Produtos[Categoria])</f>
        <v>Vestuário</v>
      </c>
      <c r="E81" s="1">
        <v>10</v>
      </c>
      <c r="F81" s="7">
        <f>VLOOKUP(TB_Vendas[[#This Row],[Código]],Produtos!$B$6:$G$66,6,0)</f>
        <v>289.89999999999998</v>
      </c>
      <c r="G81" s="1">
        <f>_xlfn.XMATCH(TB_Vendas[[#This Row],[Categoria]],Desc_Categorias,0)</f>
        <v>3</v>
      </c>
      <c r="H81" s="43">
        <f>VLOOKUP(TB_Vendas[[#This Row],[Qtd]],Desc_TabelaToda,TB_Vendas[[#This Row],[Indice]],TRUE)</f>
        <v>0.3</v>
      </c>
      <c r="I81" s="43" cm="1">
        <f t="array" ref="I81">INDEX(Desc_TabelaToda,MATCH(TB_Vendas[[#This Row],[Qtd]],Desc_Quantidades,1),MATCH(_xlfn.XLOOKUP(TB_Vendas[[#This Row],[Código]],TB_Produtos[[#All],[Código]],TB_Produtos[[#All],[Categoria]]),Desc_Categorias,0))</f>
        <v>0.3</v>
      </c>
      <c r="J81" s="43">
        <f>_xlfn.XLOOKUP(TB_Vendas[[#This Row],[Vendedor]],Vendedores!$A$5:$A$9,Vendedores!$D$5:$D$9)</f>
        <v>0.15</v>
      </c>
      <c r="K81" s="43">
        <f>IF(TB_Vendas[[#This Row],[Desconto 
(Diretão)]]&lt;=TB_Vendas[[#This Row],[Desconto 
(Vendedor)]],TB_Vendas[[#This Row],[Desconto 
(Diretão)]],TB_Vendas[[#This Row],[Desconto 
(Vendedor)]])</f>
        <v>0.15</v>
      </c>
      <c r="L81" s="2">
        <f>TB_Vendas[[#This Row],[Preço Unitário]]*TB_Vendas[[#This Row],[Qtd]]</f>
        <v>2899</v>
      </c>
      <c r="M81" s="1" t="s">
        <v>114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>
        <f>_xlfn.XLOOKUP(TB_Vendas[[#This Row],[Código]],TB_Produtos[Código],TB_Produtos[Categoria])</f>
        <v>Vestuário</v>
      </c>
      <c r="E82" s="1">
        <v>1</v>
      </c>
      <c r="F82" s="7">
        <f>VLOOKUP(TB_Vendas[[#This Row],[Código]],Produtos!$B$6:$G$66,6,0)</f>
        <v>42.5</v>
      </c>
      <c r="G82" s="1">
        <f>_xlfn.XMATCH(TB_Vendas[[#This Row],[Categoria]],Desc_Categorias,0)</f>
        <v>3</v>
      </c>
      <c r="H82" s="43">
        <f>VLOOKUP(TB_Vendas[[#This Row],[Qtd]],Desc_TabelaToda,TB_Vendas[[#This Row],[Indice]],TRUE)</f>
        <v>0.1</v>
      </c>
      <c r="I82" s="43" cm="1">
        <f t="array" ref="I82">INDEX(Desc_TabelaToda,MATCH(TB_Vendas[[#This Row],[Qtd]],Desc_Quantidades,1),MATCH(_xlfn.XLOOKUP(TB_Vendas[[#This Row],[Código]],TB_Produtos[[#All],[Código]],TB_Produtos[[#All],[Categoria]]),Desc_Categorias,0))</f>
        <v>0.1</v>
      </c>
      <c r="J82" s="43">
        <f>_xlfn.XLOOKUP(TB_Vendas[[#This Row],[Vendedor]],Vendedores!$A$5:$A$9,Vendedores!$D$5:$D$9)</f>
        <v>0.1</v>
      </c>
      <c r="K82" s="43">
        <f>IF(TB_Vendas[[#This Row],[Desconto 
(Diretão)]]&lt;=TB_Vendas[[#This Row],[Desconto 
(Vendedor)]],TB_Vendas[[#This Row],[Desconto 
(Diretão)]],TB_Vendas[[#This Row],[Desconto 
(Vendedor)]])</f>
        <v>0.1</v>
      </c>
      <c r="L82" s="2">
        <f>TB_Vendas[[#This Row],[Preço Unitário]]*TB_Vendas[[#This Row],[Qtd]]</f>
        <v>42.5</v>
      </c>
      <c r="M82" s="1" t="s">
        <v>115</v>
      </c>
    </row>
    <row r="83" spans="1:13">
      <c r="A83" s="1">
        <f>MONTH(TB_Vendas[[#This Row],[Data]])</f>
        <v>8</v>
      </c>
      <c r="B83" s="3">
        <v>45150</v>
      </c>
      <c r="C83" s="4" t="s">
        <v>102</v>
      </c>
      <c r="D83" s="4" t="str">
        <f>_xlfn.XLOOKUP(TB_Vendas[[#This Row],[Código]],TB_Produtos[Código],TB_Produtos[Categoria])</f>
        <v>Calçado</v>
      </c>
      <c r="E83" s="1">
        <v>2</v>
      </c>
      <c r="F83" s="7">
        <f>VLOOKUP(TB_Vendas[[#This Row],[Código]],Produtos!$B$6:$G$66,6,0)</f>
        <v>89.9</v>
      </c>
      <c r="G83" s="1">
        <f>_xlfn.XMATCH(TB_Vendas[[#This Row],[Categoria]],Desc_Categorias,0)</f>
        <v>4</v>
      </c>
      <c r="H83" s="43">
        <f>VLOOKUP(TB_Vendas[[#This Row],[Qtd]],Desc_TabelaToda,TB_Vendas[[#This Row],[Indice]],TRUE)</f>
        <v>0.1</v>
      </c>
      <c r="I83" s="43" cm="1">
        <f t="array" ref="I83">INDEX(Desc_TabelaToda,MATCH(TB_Vendas[[#This Row],[Qtd]],Desc_Quantidades,1),MATCH(_xlfn.XLOOKUP(TB_Vendas[[#This Row],[Código]],TB_Produtos[[#All],[Código]],TB_Produtos[[#All],[Categoria]]),Desc_Categorias,0))</f>
        <v>0.1</v>
      </c>
      <c r="J83" s="43">
        <f>_xlfn.XLOOKUP(TB_Vendas[[#This Row],[Vendedor]],Vendedores!$A$5:$A$9,Vendedores!$D$5:$D$9)</f>
        <v>0.15</v>
      </c>
      <c r="K83" s="43">
        <f>IF(TB_Vendas[[#This Row],[Desconto 
(Diretão)]]&lt;=TB_Vendas[[#This Row],[Desconto 
(Vendedor)]],TB_Vendas[[#This Row],[Desconto 
(Diretão)]],TB_Vendas[[#This Row],[Desconto 
(Vendedor)]])</f>
        <v>0.1</v>
      </c>
      <c r="L83" s="2">
        <f>TB_Vendas[[#This Row],[Preço Unitário]]*TB_Vendas[[#This Row],[Qtd]]</f>
        <v>179.8</v>
      </c>
      <c r="M83" s="1" t="s">
        <v>114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>
        <f>_xlfn.XLOOKUP(TB_Vendas[[#This Row],[Código]],TB_Produtos[Código],TB_Produtos[Categoria])</f>
        <v>Calçado</v>
      </c>
      <c r="E84" s="1">
        <v>3</v>
      </c>
      <c r="F84" s="7">
        <f>VLOOKUP(TB_Vendas[[#This Row],[Código]],Produtos!$B$6:$G$66,6,0)</f>
        <v>255</v>
      </c>
      <c r="G84" s="1">
        <f>_xlfn.XMATCH(TB_Vendas[[#This Row],[Categoria]],Desc_Categorias,0)</f>
        <v>4</v>
      </c>
      <c r="H84" s="43">
        <f>VLOOKUP(TB_Vendas[[#This Row],[Qtd]],Desc_TabelaToda,TB_Vendas[[#This Row],[Indice]],TRUE)</f>
        <v>0.15</v>
      </c>
      <c r="I84" s="43" cm="1">
        <f t="array" ref="I84">INDEX(Desc_TabelaToda,MATCH(TB_Vendas[[#This Row],[Qtd]],Desc_Quantidades,1),MATCH(_xlfn.XLOOKUP(TB_Vendas[[#This Row],[Código]],TB_Produtos[[#All],[Código]],TB_Produtos[[#All],[Categoria]]),Desc_Categorias,0))</f>
        <v>0.15</v>
      </c>
      <c r="J84" s="43">
        <f>_xlfn.XLOOKUP(TB_Vendas[[#This Row],[Vendedor]],Vendedores!$A$5:$A$9,Vendedores!$D$5:$D$9)</f>
        <v>0.2</v>
      </c>
      <c r="K84" s="43">
        <f>IF(TB_Vendas[[#This Row],[Desconto 
(Diretão)]]&lt;=TB_Vendas[[#This Row],[Desconto 
(Vendedor)]],TB_Vendas[[#This Row],[Desconto 
(Diretão)]],TB_Vendas[[#This Row],[Desconto 
(Vendedor)]])</f>
        <v>0.15</v>
      </c>
      <c r="L84" s="2">
        <f>TB_Vendas[[#This Row],[Preço Unitário]]*TB_Vendas[[#This Row],[Qtd]]</f>
        <v>765</v>
      </c>
      <c r="M84" s="1" t="s">
        <v>113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>
        <f>_xlfn.XLOOKUP(TB_Vendas[[#This Row],[Código]],TB_Produtos[Código],TB_Produtos[Categoria])</f>
        <v>Vestuário</v>
      </c>
      <c r="E85" s="1">
        <v>6</v>
      </c>
      <c r="F85" s="7">
        <f>VLOOKUP(TB_Vendas[[#This Row],[Código]],Produtos!$B$6:$G$66,6,0)</f>
        <v>42.5</v>
      </c>
      <c r="G85" s="1">
        <f>_xlfn.XMATCH(TB_Vendas[[#This Row],[Categoria]],Desc_Categorias,0)</f>
        <v>3</v>
      </c>
      <c r="H85" s="43">
        <f>VLOOKUP(TB_Vendas[[#This Row],[Qtd]],Desc_TabelaToda,TB_Vendas[[#This Row],[Indice]],TRUE)</f>
        <v>0.25</v>
      </c>
      <c r="I85" s="43" cm="1">
        <f t="array" ref="I85">INDEX(Desc_TabelaToda,MATCH(TB_Vendas[[#This Row],[Qtd]],Desc_Quantidades,1),MATCH(_xlfn.XLOOKUP(TB_Vendas[[#This Row],[Código]],TB_Produtos[[#All],[Código]],TB_Produtos[[#All],[Categoria]]),Desc_Categorias,0))</f>
        <v>0.25</v>
      </c>
      <c r="J85" s="43">
        <f>_xlfn.XLOOKUP(TB_Vendas[[#This Row],[Vendedor]],Vendedores!$A$5:$A$9,Vendedores!$D$5:$D$9)</f>
        <v>0.2</v>
      </c>
      <c r="K85" s="43">
        <f>IF(TB_Vendas[[#This Row],[Desconto 
(Diretão)]]&lt;=TB_Vendas[[#This Row],[Desconto 
(Vendedor)]],TB_Vendas[[#This Row],[Desconto 
(Diretão)]],TB_Vendas[[#This Row],[Desconto 
(Vendedor)]])</f>
        <v>0.2</v>
      </c>
      <c r="L85" s="2">
        <f>TB_Vendas[[#This Row],[Preço Unitário]]*TB_Vendas[[#This Row],[Qtd]]</f>
        <v>255</v>
      </c>
      <c r="M85" s="1" t="s">
        <v>116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>
        <f>_xlfn.XLOOKUP(TB_Vendas[[#This Row],[Código]],TB_Produtos[Código],TB_Produtos[Categoria])</f>
        <v>Vestuário</v>
      </c>
      <c r="E86" s="1">
        <v>8</v>
      </c>
      <c r="F86" s="7">
        <f>VLOOKUP(TB_Vendas[[#This Row],[Código]],Produtos!$B$6:$G$66,6,0)</f>
        <v>39.9</v>
      </c>
      <c r="G86" s="1">
        <f>_xlfn.XMATCH(TB_Vendas[[#This Row],[Categoria]],Desc_Categorias,0)</f>
        <v>3</v>
      </c>
      <c r="H86" s="43">
        <f>VLOOKUP(TB_Vendas[[#This Row],[Qtd]],Desc_TabelaToda,TB_Vendas[[#This Row],[Indice]],TRUE)</f>
        <v>0.25</v>
      </c>
      <c r="I86" s="43" cm="1">
        <f t="array" ref="I86">INDEX(Desc_TabelaToda,MATCH(TB_Vendas[[#This Row],[Qtd]],Desc_Quantidades,1),MATCH(_xlfn.XLOOKUP(TB_Vendas[[#This Row],[Código]],TB_Produtos[[#All],[Código]],TB_Produtos[[#All],[Categoria]]),Desc_Categorias,0))</f>
        <v>0.25</v>
      </c>
      <c r="J86" s="43">
        <f>_xlfn.XLOOKUP(TB_Vendas[[#This Row],[Vendedor]],Vendedores!$A$5:$A$9,Vendedores!$D$5:$D$9)</f>
        <v>0.15</v>
      </c>
      <c r="K86" s="43">
        <f>IF(TB_Vendas[[#This Row],[Desconto 
(Diretão)]]&lt;=TB_Vendas[[#This Row],[Desconto 
(Vendedor)]],TB_Vendas[[#This Row],[Desconto 
(Diretão)]],TB_Vendas[[#This Row],[Desconto 
(Vendedor)]])</f>
        <v>0.15</v>
      </c>
      <c r="L86" s="2">
        <f>TB_Vendas[[#This Row],[Preço Unitário]]*TB_Vendas[[#This Row],[Qtd]]</f>
        <v>319.2</v>
      </c>
      <c r="M86" s="1" t="s">
        <v>114</v>
      </c>
    </row>
  </sheetData>
  <phoneticPr fontId="11" type="noConversion"/>
  <conditionalFormatting sqref="E4:K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E11" sqref="E11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13" customFormat="1" ht="40.15" customHeight="1">
      <c r="A1" s="16"/>
      <c r="B1" s="20" t="s">
        <v>131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23.25" customHeight="1">
      <c r="A4" s="15"/>
      <c r="B4" s="72" t="s">
        <v>140</v>
      </c>
      <c r="C4" s="72"/>
      <c r="D4" s="15"/>
      <c r="E4" s="72" t="s">
        <v>147</v>
      </c>
      <c r="F4" s="72"/>
    </row>
    <row r="5" spans="1:9" ht="5.25" customHeight="1" thickBot="1"/>
    <row r="6" spans="1:9" ht="24.6" customHeight="1" thickBot="1">
      <c r="B6" s="45" t="s">
        <v>141</v>
      </c>
      <c r="C6" s="44" t="s">
        <v>102</v>
      </c>
      <c r="E6" s="45" t="s">
        <v>146</v>
      </c>
      <c r="F6" s="49">
        <v>44949</v>
      </c>
    </row>
    <row r="7" spans="1:9" ht="24.6" customHeight="1" thickTop="1" thickBot="1">
      <c r="B7" s="45" t="s">
        <v>142</v>
      </c>
      <c r="C7" s="23" t="str">
        <f>IFERROR(VLOOKUP(C6,TB_Produtos[#All],2,FALSE),"")</f>
        <v>Sandália Rasteira</v>
      </c>
      <c r="E7" s="45" t="s">
        <v>149</v>
      </c>
      <c r="F7" s="23" t="str">
        <f>_xlfn.XLOOKUP(WEEKDAY(F6),'Cadastros Auxiliares'!$B$4:$I$4,'Cadastros Auxiliares'!$B$5:$I$5,"")</f>
        <v>Segunda-feira</v>
      </c>
      <c r="G7" s="22"/>
    </row>
    <row r="8" spans="1:9" ht="24.6" customHeight="1" thickTop="1" thickBot="1">
      <c r="B8" s="46" t="s">
        <v>143</v>
      </c>
      <c r="C8" s="21" cm="1">
        <f t="array" ref="C8">_xlfn.XLOOKUP(C6,TB_Produtos[[#All],[Código]],TB_Produtos[[#All],[Tamanho]],"")</f>
        <v>35</v>
      </c>
      <c r="E8" s="46" t="s">
        <v>150</v>
      </c>
      <c r="F8" s="50">
        <f>SUMIF(TB_Vendas[[#All],[Data]],Consultas!$F$6,TB_Vendas[[#All],[Total]])</f>
        <v>146</v>
      </c>
      <c r="G8" s="22"/>
    </row>
    <row r="9" spans="1:9" ht="24.6" customHeight="1" thickTop="1" thickBot="1">
      <c r="B9" s="47" t="s">
        <v>144</v>
      </c>
      <c r="C9" s="69" t="str">
        <f>IFERROR(VLOOKUP($C$6,Produtos!$B$6:$G$66,4,0),"")</f>
        <v>Calçado</v>
      </c>
      <c r="E9" s="48" t="s">
        <v>148</v>
      </c>
      <c r="F9" s="24">
        <f>SUMIF(TB_Vendas[[#All],[Data]],Consultas!$F$6,TB_Vendas[[#All],[Qtd]])</f>
        <v>1</v>
      </c>
      <c r="G9" s="22"/>
    </row>
    <row r="10" spans="1:9" ht="24.6" customHeight="1" thickTop="1" thickBot="1">
      <c r="B10" s="47" t="s">
        <v>151</v>
      </c>
      <c r="C10" s="68">
        <f>_xlfn.XLOOKUP($C$6,Produtos!$B$6:$B$66,Produtos!$G$6:$G$66,"")</f>
        <v>89.9</v>
      </c>
      <c r="G10" s="22"/>
    </row>
    <row r="11" spans="1:9" ht="24.6" customHeight="1" thickTop="1" thickBot="1">
      <c r="B11" s="46" t="s">
        <v>145</v>
      </c>
      <c r="C11" s="21" cm="1">
        <f t="array" ref="C11">_xlfn.XLOOKUP($C$6,TB_Produtos[[#All],[Código]],TB_Produtos[[#All],[Estoque]],"")</f>
        <v>48</v>
      </c>
      <c r="G11" s="22"/>
    </row>
    <row r="12" spans="1:9" ht="23.25" thickTop="1" thickBot="1">
      <c r="B12" s="47" t="s">
        <v>152</v>
      </c>
      <c r="C12" s="21" t="str" cm="1">
        <f t="array" ref="C12">_xlfn.IFS(C11=0,"Estoque Zerado",C11&gt;=C13,"Estoque OK",1,"Rever Estoque")</f>
        <v>Estoque OK</v>
      </c>
      <c r="E12" s="51"/>
    </row>
    <row r="13" spans="1:9" ht="24.75" thickTop="1" thickBot="1">
      <c r="B13" s="48" t="s">
        <v>154</v>
      </c>
      <c r="C13" s="56">
        <f>_xlfn.XLOOKUP(C9,'Cadastros Auxiliares'!G9:G11,'Cadastros Auxiliares'!H9:H11)</f>
        <v>15</v>
      </c>
      <c r="E13" s="52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864B3-67D5-45F6-83BC-59307DFC7664}">
          <x14:formula1>
            <xm:f>Vendas!$B:$B</xm:f>
          </x14:formula1>
          <xm:sqref>F6</xm:sqref>
        </x14:dataValidation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9876-5223-46EA-AB95-1E16683FB374}">
  <sheetPr>
    <tabColor rgb="FFFF0000"/>
  </sheetPr>
  <dimension ref="A1:F16"/>
  <sheetViews>
    <sheetView zoomScaleNormal="100" workbookViewId="0">
      <selection activeCell="C8" sqref="C8"/>
    </sheetView>
  </sheetViews>
  <sheetFormatPr defaultRowHeight="15"/>
  <cols>
    <col min="1" max="1" width="22.5703125" customWidth="1"/>
    <col min="2" max="2" width="25" customWidth="1"/>
    <col min="3" max="3" width="27.28515625" customWidth="1"/>
    <col min="4" max="4" width="3" customWidth="1"/>
    <col min="5" max="5" width="18" bestFit="1" customWidth="1"/>
    <col min="6" max="6" width="21.5703125" bestFit="1" customWidth="1"/>
    <col min="7" max="14" width="17.85546875" customWidth="1"/>
  </cols>
  <sheetData>
    <row r="1" spans="1:6" ht="15.75"/>
    <row r="2" spans="1:6" ht="70.5" customHeight="1"/>
    <row r="3" spans="1:6">
      <c r="A3" s="63" t="s">
        <v>160</v>
      </c>
      <c r="B3" t="s">
        <v>162</v>
      </c>
      <c r="C3" t="s">
        <v>163</v>
      </c>
      <c r="E3" s="63" t="s">
        <v>160</v>
      </c>
      <c r="F3" t="s">
        <v>165</v>
      </c>
    </row>
    <row r="4" spans="1:6" ht="15.75">
      <c r="A4" s="65" t="s">
        <v>12</v>
      </c>
      <c r="B4" s="67">
        <v>1482</v>
      </c>
      <c r="C4" s="66">
        <v>5298.699999999998</v>
      </c>
      <c r="E4" s="64" t="s">
        <v>12</v>
      </c>
      <c r="F4">
        <v>45</v>
      </c>
    </row>
    <row r="5" spans="1:6" ht="15.75">
      <c r="A5" s="65" t="s">
        <v>13</v>
      </c>
      <c r="B5" s="67">
        <v>159</v>
      </c>
      <c r="C5" s="66">
        <v>964.59999999999991</v>
      </c>
      <c r="E5" s="64" t="s">
        <v>13</v>
      </c>
      <c r="F5">
        <v>6</v>
      </c>
    </row>
    <row r="6" spans="1:6" ht="15.75">
      <c r="A6" s="65" t="s">
        <v>14</v>
      </c>
      <c r="B6" s="67">
        <v>350</v>
      </c>
      <c r="C6" s="66">
        <v>1789.4</v>
      </c>
      <c r="E6" s="64" t="s">
        <v>14</v>
      </c>
      <c r="F6">
        <v>9</v>
      </c>
    </row>
    <row r="7" spans="1:6">
      <c r="A7" s="64" t="s">
        <v>161</v>
      </c>
      <c r="B7" s="1">
        <v>1991</v>
      </c>
      <c r="C7" s="2">
        <v>8052.6999999999971</v>
      </c>
      <c r="E7" s="64" t="s">
        <v>161</v>
      </c>
      <c r="F7">
        <v>60</v>
      </c>
    </row>
    <row r="12" spans="1:6" ht="15.75"/>
    <row r="14" spans="1:6" ht="15.75"/>
    <row r="16" spans="1:6" ht="15.75"/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D837-B452-490D-A671-9B37EFAC20E7}">
  <sheetPr>
    <tabColor rgb="FFFF0000"/>
  </sheetPr>
  <dimension ref="A3:C12"/>
  <sheetViews>
    <sheetView workbookViewId="0">
      <selection activeCell="A6" sqref="A4:A11"/>
    </sheetView>
  </sheetViews>
  <sheetFormatPr defaultRowHeight="15"/>
  <cols>
    <col min="1" max="1" width="18" bestFit="1" customWidth="1"/>
    <col min="2" max="2" width="13.5703125" bestFit="1" customWidth="1"/>
    <col min="3" max="3" width="12.28515625" bestFit="1" customWidth="1"/>
    <col min="4" max="8" width="19.5703125" bestFit="1" customWidth="1"/>
    <col min="9" max="9" width="10.7109375" bestFit="1" customWidth="1"/>
    <col min="10" max="77" width="19.5703125" bestFit="1" customWidth="1"/>
    <col min="78" max="78" width="10.7109375" bestFit="1" customWidth="1"/>
  </cols>
  <sheetData>
    <row r="3" spans="1:3">
      <c r="A3" s="63" t="s">
        <v>160</v>
      </c>
      <c r="B3" t="s">
        <v>174</v>
      </c>
      <c r="C3" t="s">
        <v>164</v>
      </c>
    </row>
    <row r="4" spans="1:3">
      <c r="A4" s="64" t="s">
        <v>166</v>
      </c>
      <c r="B4" s="107">
        <v>1750.9</v>
      </c>
      <c r="C4" s="106">
        <v>14</v>
      </c>
    </row>
    <row r="5" spans="1:3">
      <c r="A5" s="64" t="s">
        <v>167</v>
      </c>
      <c r="B5" s="107">
        <v>2974.9</v>
      </c>
      <c r="C5" s="106">
        <v>15</v>
      </c>
    </row>
    <row r="6" spans="1:3">
      <c r="A6" s="64" t="s">
        <v>168</v>
      </c>
      <c r="B6" s="107">
        <v>3698.1</v>
      </c>
      <c r="C6" s="106">
        <v>26</v>
      </c>
    </row>
    <row r="7" spans="1:3">
      <c r="A7" s="64" t="s">
        <v>169</v>
      </c>
      <c r="B7" s="107">
        <v>3651.0999999999995</v>
      </c>
      <c r="C7" s="106">
        <v>28</v>
      </c>
    </row>
    <row r="8" spans="1:3">
      <c r="A8" s="64" t="s">
        <v>170</v>
      </c>
      <c r="B8" s="107">
        <v>2776.2999999999997</v>
      </c>
      <c r="C8" s="106">
        <v>17</v>
      </c>
    </row>
    <row r="9" spans="1:3">
      <c r="A9" s="64" t="s">
        <v>171</v>
      </c>
      <c r="B9" s="107">
        <v>3477.7000000000007</v>
      </c>
      <c r="C9" s="106">
        <v>41</v>
      </c>
    </row>
    <row r="10" spans="1:3">
      <c r="A10" s="64" t="s">
        <v>172</v>
      </c>
      <c r="B10" s="107">
        <v>8602.0999999999985</v>
      </c>
      <c r="C10" s="106">
        <v>53</v>
      </c>
    </row>
    <row r="11" spans="1:3">
      <c r="A11" s="64" t="s">
        <v>173</v>
      </c>
      <c r="B11" s="107">
        <v>6373.7</v>
      </c>
      <c r="C11" s="106">
        <v>56</v>
      </c>
    </row>
    <row r="12" spans="1:3">
      <c r="A12" s="64" t="s">
        <v>161</v>
      </c>
      <c r="B12" s="107">
        <v>33304.799999999988</v>
      </c>
      <c r="C12" s="106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13" customFormat="1" ht="40.15" customHeight="1">
      <c r="B1" s="36" t="s">
        <v>122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22.5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9" customFormat="1" ht="22.5" thickBot="1">
      <c r="B5" s="27" t="s">
        <v>123</v>
      </c>
      <c r="C5" s="28" t="s">
        <v>124</v>
      </c>
      <c r="D5" s="28" t="s">
        <v>125</v>
      </c>
      <c r="E5" s="28" t="s">
        <v>126</v>
      </c>
      <c r="F5" s="28" t="s">
        <v>127</v>
      </c>
      <c r="G5" s="28" t="s">
        <v>128</v>
      </c>
      <c r="H5" s="28" t="s">
        <v>129</v>
      </c>
      <c r="I5" s="28" t="s">
        <v>130</v>
      </c>
    </row>
    <row r="7" spans="2:10" ht="15.75" thickBot="1"/>
    <row r="8" spans="2:10" ht="44.25" thickBot="1">
      <c r="B8" s="33" t="s">
        <v>139</v>
      </c>
      <c r="C8" s="34" t="s">
        <v>13</v>
      </c>
      <c r="D8" s="34" t="s">
        <v>12</v>
      </c>
      <c r="E8" s="34" t="s">
        <v>14</v>
      </c>
      <c r="G8" s="53" t="s">
        <v>10</v>
      </c>
      <c r="H8" s="54" t="s">
        <v>153</v>
      </c>
    </row>
    <row r="9" spans="2:10" ht="18.75" thickBot="1">
      <c r="B9" s="28">
        <v>1</v>
      </c>
      <c r="C9" s="32">
        <v>0</v>
      </c>
      <c r="D9" s="32">
        <v>0.1</v>
      </c>
      <c r="E9" s="35">
        <v>0</v>
      </c>
      <c r="G9" s="28" t="s">
        <v>13</v>
      </c>
      <c r="H9" s="55">
        <v>5</v>
      </c>
    </row>
    <row r="10" spans="2:10" ht="18.75" thickBot="1">
      <c r="B10" s="28">
        <v>2</v>
      </c>
      <c r="C10" s="32">
        <v>0.05</v>
      </c>
      <c r="D10" s="32">
        <v>0.15</v>
      </c>
      <c r="E10" s="35">
        <v>0.1</v>
      </c>
      <c r="G10" s="28" t="s">
        <v>12</v>
      </c>
      <c r="H10" s="55">
        <v>10</v>
      </c>
    </row>
    <row r="11" spans="2:10" ht="18.75" thickBot="1">
      <c r="B11" s="28">
        <v>3</v>
      </c>
      <c r="C11" s="32">
        <v>0.15</v>
      </c>
      <c r="D11" s="32">
        <v>0.2</v>
      </c>
      <c r="E11" s="35">
        <v>0.15</v>
      </c>
      <c r="G11" s="28" t="s">
        <v>14</v>
      </c>
      <c r="H11" s="55">
        <v>15</v>
      </c>
    </row>
    <row r="12" spans="2:10" ht="18.75" thickBot="1">
      <c r="B12" s="28">
        <v>5</v>
      </c>
      <c r="C12" s="32">
        <v>0.25</v>
      </c>
      <c r="D12" s="32">
        <v>0.25</v>
      </c>
      <c r="E12" s="35">
        <v>0.25</v>
      </c>
    </row>
    <row r="13" spans="2:10" ht="18.75" thickBot="1">
      <c r="B13" s="28">
        <v>10</v>
      </c>
      <c r="C13" s="32">
        <v>0.3</v>
      </c>
      <c r="D13" s="32">
        <v>0.3</v>
      </c>
      <c r="E13" s="35">
        <v>0.3</v>
      </c>
      <c r="G13" s="42"/>
    </row>
    <row r="15" spans="2:10" ht="23.25">
      <c r="B15" s="52"/>
      <c r="C15" s="52"/>
      <c r="D15" s="52"/>
      <c r="E15" s="52"/>
      <c r="F15" s="52"/>
    </row>
    <row r="16" spans="2:10" ht="23.25">
      <c r="B16" s="52"/>
      <c r="C16" s="52"/>
      <c r="D16" s="52"/>
      <c r="E16" s="52"/>
      <c r="F16" s="52"/>
    </row>
    <row r="17" spans="2:6" ht="23.25">
      <c r="B17" s="52"/>
      <c r="C17" s="52"/>
      <c r="D17" s="62"/>
      <c r="E17" s="52"/>
      <c r="F17" s="52"/>
    </row>
    <row r="18" spans="2:6" ht="23.25">
      <c r="B18" s="52"/>
      <c r="C18" s="52"/>
      <c r="D18" s="52"/>
      <c r="E18" s="52"/>
      <c r="F18" s="62"/>
    </row>
    <row r="19" spans="2:6" ht="23.25">
      <c r="B19" s="52"/>
      <c r="C19" s="52"/>
      <c r="D19" s="52"/>
      <c r="E19" s="52"/>
      <c r="F19" s="52"/>
    </row>
    <row r="20" spans="2:6" ht="23.25">
      <c r="B20" s="52"/>
      <c r="C20" s="52"/>
      <c r="D20" s="52"/>
      <c r="E20" s="52"/>
      <c r="F20" s="52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3873-9B8C-4347-A8AE-35B09F72E58F}">
  <sheetPr>
    <tabColor rgb="FFFF0000"/>
  </sheetPr>
  <dimension ref="A3:B9"/>
  <sheetViews>
    <sheetView workbookViewId="0">
      <selection activeCell="B5" sqref="B5"/>
    </sheetView>
  </sheetViews>
  <sheetFormatPr defaultRowHeight="15"/>
  <cols>
    <col min="1" max="1" width="18" bestFit="1" customWidth="1"/>
    <col min="2" max="2" width="13.5703125" bestFit="1" customWidth="1"/>
  </cols>
  <sheetData>
    <row r="3" spans="1:2">
      <c r="A3" s="63" t="s">
        <v>160</v>
      </c>
      <c r="B3" t="s">
        <v>174</v>
      </c>
    </row>
    <row r="4" spans="1:2">
      <c r="A4" s="64" t="s">
        <v>118</v>
      </c>
      <c r="B4" s="107">
        <v>6811.2</v>
      </c>
    </row>
    <row r="5" spans="1:2">
      <c r="A5" s="64" t="s">
        <v>119</v>
      </c>
      <c r="B5" s="107">
        <v>6552.6</v>
      </c>
    </row>
    <row r="6" spans="1:2">
      <c r="A6" s="64" t="s">
        <v>70</v>
      </c>
      <c r="B6" s="107">
        <v>3259.7000000000003</v>
      </c>
    </row>
    <row r="7" spans="1:2">
      <c r="A7" s="64" t="s">
        <v>71</v>
      </c>
      <c r="B7" s="107">
        <v>8601.5999999999985</v>
      </c>
    </row>
    <row r="8" spans="1:2">
      <c r="A8" s="64" t="s">
        <v>73</v>
      </c>
      <c r="B8" s="107">
        <v>8079.7</v>
      </c>
    </row>
    <row r="9" spans="1:2">
      <c r="A9" s="64" t="s">
        <v>161</v>
      </c>
      <c r="B9" s="107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tabSelected="1" zoomScaleNormal="100" workbookViewId="0">
      <selection activeCell="CM6" sqref="CM6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73" t="s">
        <v>76</v>
      </c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5"/>
      <c r="AQ2" s="73" t="s">
        <v>77</v>
      </c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5"/>
      <c r="BK2" s="73" t="s">
        <v>78</v>
      </c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5"/>
    </row>
    <row r="3" spans="3:80" ht="9.75" customHeight="1" thickBot="1"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8"/>
      <c r="AQ3" s="76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8"/>
      <c r="BK3" s="76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8"/>
    </row>
    <row r="4" spans="3:80" ht="9.75" customHeight="1">
      <c r="W4" s="88">
        <f>GETPIVOTDATA("Produtos",DN_Produtos!$E$3)</f>
        <v>60</v>
      </c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90"/>
      <c r="AQ4" s="88">
        <f>GETPIVOTDATA("[Measures].[Soma de Qtd]",DN_Vendas!$A$3)</f>
        <v>250</v>
      </c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90"/>
      <c r="BK4" s="97">
        <f>GETPIVOTDATA("[Measures].[Soma de Total]",DN_Vendas!$A$3)</f>
        <v>33304.799999999988</v>
      </c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9"/>
    </row>
    <row r="5" spans="3:80" ht="9.75" customHeight="1">
      <c r="W5" s="91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3"/>
      <c r="AQ5" s="91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3"/>
      <c r="BK5" s="100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2"/>
    </row>
    <row r="6" spans="3:80" ht="9.75" customHeight="1">
      <c r="W6" s="91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3"/>
      <c r="AQ6" s="91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3"/>
      <c r="BK6" s="100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2"/>
    </row>
    <row r="7" spans="3:80" ht="9.75" customHeight="1" thickBot="1">
      <c r="W7" s="94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6"/>
      <c r="AQ7" s="94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6"/>
      <c r="BK7" s="103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5"/>
    </row>
    <row r="8" spans="3:80" ht="9.75" customHeight="1" thickBot="1"/>
    <row r="9" spans="3:80" ht="9.75" customHeight="1">
      <c r="C9" s="73" t="s">
        <v>79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5"/>
    </row>
    <row r="10" spans="3:80" ht="9.75" customHeight="1" thickBot="1"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8"/>
    </row>
    <row r="11" spans="3:80" ht="9.75" customHeight="1">
      <c r="C11" s="79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1"/>
    </row>
    <row r="12" spans="3:80" ht="9.75" customHeight="1"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4"/>
    </row>
    <row r="13" spans="3:80" ht="9.75" customHeight="1">
      <c r="C13" s="82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4"/>
    </row>
    <row r="14" spans="3:80" ht="9.75" customHeight="1"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4"/>
    </row>
    <row r="15" spans="3:80" ht="9.75" customHeight="1">
      <c r="C15" s="82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4"/>
    </row>
    <row r="16" spans="3:80" ht="9.75" customHeight="1"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4"/>
    </row>
    <row r="17" spans="3:80" ht="9.75" customHeight="1"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4"/>
    </row>
    <row r="18" spans="3:80" ht="9.75" customHeight="1"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4"/>
    </row>
    <row r="19" spans="3:80" ht="9.75" customHeight="1">
      <c r="C19" s="82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4"/>
    </row>
    <row r="20" spans="3:80" ht="9.75" customHeight="1">
      <c r="C20" s="82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4"/>
    </row>
    <row r="21" spans="3:80" ht="9.75" customHeight="1">
      <c r="C21" s="82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4"/>
    </row>
    <row r="22" spans="3:80" ht="9.75" customHeight="1"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4"/>
    </row>
    <row r="23" spans="3:80" ht="9.75" customHeight="1">
      <c r="C23" s="82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4"/>
    </row>
    <row r="24" spans="3:80" ht="9.75" customHeight="1" thickBot="1"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7"/>
    </row>
    <row r="25" spans="3:80" ht="9.75" customHeight="1" thickBot="1"/>
    <row r="26" spans="3:80" ht="9.75" customHeight="1">
      <c r="C26" s="73" t="s">
        <v>80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5"/>
      <c r="AO26" s="6"/>
      <c r="AP26" s="6"/>
      <c r="AQ26" s="73" t="s">
        <v>81</v>
      </c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5"/>
    </row>
    <row r="27" spans="3:80" ht="9.75" customHeight="1" thickBot="1"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8"/>
      <c r="AO27" s="6"/>
      <c r="AP27" s="6"/>
      <c r="AQ27" s="76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8"/>
    </row>
    <row r="28" spans="3:80" ht="9.75" customHeight="1">
      <c r="C28" s="79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1"/>
      <c r="AQ28" s="79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1"/>
    </row>
    <row r="29" spans="3:80" ht="9.75" customHeight="1">
      <c r="C29" s="82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4"/>
      <c r="AQ29" s="82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4"/>
    </row>
    <row r="30" spans="3:80" ht="9.75" customHeight="1"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4"/>
      <c r="AQ30" s="82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4"/>
    </row>
    <row r="31" spans="3:80" ht="9.75" customHeight="1">
      <c r="C31" s="82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4"/>
      <c r="AQ31" s="82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4"/>
    </row>
    <row r="32" spans="3:80" ht="9.75" customHeight="1"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4"/>
      <c r="AQ32" s="82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4"/>
    </row>
    <row r="33" spans="3:80" ht="9.75" customHeight="1">
      <c r="C33" s="82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4"/>
      <c r="AQ33" s="82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4"/>
    </row>
    <row r="34" spans="3:80" ht="9.75" customHeight="1"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4"/>
      <c r="AQ34" s="82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4"/>
    </row>
    <row r="35" spans="3:80" ht="9.75" customHeight="1">
      <c r="C35" s="82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4"/>
      <c r="AQ35" s="82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4"/>
    </row>
    <row r="36" spans="3:80" ht="9.75" customHeight="1"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4"/>
      <c r="AQ36" s="82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4"/>
    </row>
    <row r="37" spans="3:80" ht="9.75" customHeight="1">
      <c r="C37" s="82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4"/>
      <c r="AQ37" s="82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4"/>
    </row>
    <row r="38" spans="3:80" ht="9.75" customHeight="1"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4"/>
      <c r="AQ38" s="82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4"/>
    </row>
    <row r="39" spans="3:80" ht="9.75" customHeight="1">
      <c r="C39" s="82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4"/>
      <c r="AQ39" s="82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4"/>
    </row>
    <row r="40" spans="3:80" ht="9.75" customHeight="1"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4"/>
      <c r="AQ40" s="82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4"/>
    </row>
    <row r="41" spans="3:80" ht="9.75" customHeight="1"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4"/>
      <c r="AQ41" s="82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4"/>
    </row>
    <row r="42" spans="3:80" ht="9.75" customHeight="1"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4"/>
      <c r="AQ42" s="82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4"/>
    </row>
    <row r="43" spans="3:80" ht="9.75" customHeight="1"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4"/>
      <c r="AQ43" s="82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4"/>
    </row>
    <row r="44" spans="3:80" ht="9.75" customHeight="1"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4"/>
      <c r="AQ44" s="82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4"/>
    </row>
    <row r="45" spans="3:80" ht="9.75" customHeight="1"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4"/>
      <c r="AQ45" s="82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4"/>
    </row>
    <row r="46" spans="3:80" ht="9.75" customHeight="1" thickBot="1"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7"/>
      <c r="AQ46" s="85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7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80520C0-BF20-4200-82E2-76E31AEA731D}">
  <ds:schemaRefs/>
</ds:datastoreItem>
</file>

<file path=customXml/itemProps2.xml><?xml version="1.0" encoding="utf-8"?>
<ds:datastoreItem xmlns:ds="http://schemas.openxmlformats.org/officeDocument/2006/customXml" ds:itemID="{6E87F8A6-5B3C-4ADE-98DB-48C175F0A2B0}">
  <ds:schemaRefs/>
</ds:datastoreItem>
</file>

<file path=customXml/itemProps3.xml><?xml version="1.0" encoding="utf-8"?>
<ds:datastoreItem xmlns:ds="http://schemas.openxmlformats.org/officeDocument/2006/customXml" ds:itemID="{B21C3F93-5E73-42A5-930D-80E9914997CC}">
  <ds:schemaRefs/>
</ds:datastoreItem>
</file>

<file path=customXml/itemProps4.xml><?xml version="1.0" encoding="utf-8"?>
<ds:datastoreItem xmlns:ds="http://schemas.openxmlformats.org/officeDocument/2006/customXml" ds:itemID="{E137AB40-1728-4643-B64A-5DFE56A4798E}">
  <ds:schemaRefs/>
</ds:datastoreItem>
</file>

<file path=customXml/itemProps5.xml><?xml version="1.0" encoding="utf-8"?>
<ds:datastoreItem xmlns:ds="http://schemas.openxmlformats.org/officeDocument/2006/customXml" ds:itemID="{14F30766-877F-4CEE-8B61-99D4DA6E0404}">
  <ds:schemaRefs/>
</ds:datastoreItem>
</file>

<file path=customXml/itemProps6.xml><?xml version="1.0" encoding="utf-8"?>
<ds:datastoreItem xmlns:ds="http://schemas.openxmlformats.org/officeDocument/2006/customXml" ds:itemID="{B5891A95-4A9C-416B-919C-423F0E715C43}">
  <ds:schemaRefs/>
</ds:datastoreItem>
</file>

<file path=customXml/itemProps7.xml><?xml version="1.0" encoding="utf-8"?>
<ds:datastoreItem xmlns:ds="http://schemas.openxmlformats.org/officeDocument/2006/customXml" ds:itemID="{976831BA-0CE6-4B82-881B-24FD45E1155C}">
  <ds:schemaRefs/>
</ds:datastoreItem>
</file>

<file path=customXml/itemProps8.xml><?xml version="1.0" encoding="utf-8"?>
<ds:datastoreItem xmlns:ds="http://schemas.openxmlformats.org/officeDocument/2006/customXml" ds:itemID="{67F71539-8E44-4A66-8460-7C7D4E510213}">
  <ds:schemaRefs/>
</ds:datastoreItem>
</file>

<file path=customXml/itemProps9.xml><?xml version="1.0" encoding="utf-8"?>
<ds:datastoreItem xmlns:ds="http://schemas.openxmlformats.org/officeDocument/2006/customXml" ds:itemID="{8467EB31-1629-4343-9314-56544F2D7367}">
  <ds:schemaRefs/>
</ds:datastoreItem>
</file>

<file path=customXml/itemProps10.xml><?xml version="1.0" encoding="utf-8"?>
<ds:datastoreItem xmlns:ds="http://schemas.openxmlformats.org/officeDocument/2006/customXml" ds:itemID="{95103DD3-EFA0-4837-BE5D-12D6ABAF21FD}">
  <ds:schemaRefs>
    <ds:schemaRef ds:uri="http://www.w3.org/2001/XMLSchema"/>
    <ds:schemaRef ds:uri="http://microsoft.data.visualization.engine.tours/1.0"/>
  </ds:schemaRefs>
</ds:datastoreItem>
</file>

<file path=customXml/itemProps11.xml><?xml version="1.0" encoding="utf-8"?>
<ds:datastoreItem xmlns:ds="http://schemas.openxmlformats.org/officeDocument/2006/customXml" ds:itemID="{A843ED18-3DD6-4A80-BA20-1FE61419B7D0}">
  <ds:schemaRefs>
    <ds:schemaRef ds:uri="http://www.w3.org/2001/XMLSchema"/>
    <ds:schemaRef ds:uri="http://microsoft.data.visualization.Client.Excel/1.0"/>
  </ds:schemaRefs>
</ds:datastoreItem>
</file>

<file path=customXml/itemProps12.xml><?xml version="1.0" encoding="utf-8"?>
<ds:datastoreItem xmlns:ds="http://schemas.openxmlformats.org/officeDocument/2006/customXml" ds:itemID="{3BF119C0-42D3-4867-A8A3-1B544D04BD6B}">
  <ds:schemaRefs/>
</ds:datastoreItem>
</file>

<file path=customXml/itemProps13.xml><?xml version="1.0" encoding="utf-8"?>
<ds:datastoreItem xmlns:ds="http://schemas.openxmlformats.org/officeDocument/2006/customXml" ds:itemID="{2FC7234F-61A7-453D-892D-3DBA922391DE}">
  <ds:schemaRefs/>
</ds:datastoreItem>
</file>

<file path=customXml/itemProps14.xml><?xml version="1.0" encoding="utf-8"?>
<ds:datastoreItem xmlns:ds="http://schemas.openxmlformats.org/officeDocument/2006/customXml" ds:itemID="{0DE317E0-78CA-4EE5-9AC0-02E2B14A1E1C}">
  <ds:schemaRefs/>
</ds:datastoreItem>
</file>

<file path=customXml/itemProps15.xml><?xml version="1.0" encoding="utf-8"?>
<ds:datastoreItem xmlns:ds="http://schemas.openxmlformats.org/officeDocument/2006/customXml" ds:itemID="{266D3DF8-256D-4A75-94FD-B19689BF6A37}">
  <ds:schemaRefs/>
</ds:datastoreItem>
</file>

<file path=customXml/itemProps16.xml><?xml version="1.0" encoding="utf-8"?>
<ds:datastoreItem xmlns:ds="http://schemas.openxmlformats.org/officeDocument/2006/customXml" ds:itemID="{63299D15-8E64-484A-A5E8-0C86395FFF63}">
  <ds:schemaRefs/>
</ds:datastoreItem>
</file>

<file path=customXml/itemProps17.xml><?xml version="1.0" encoding="utf-8"?>
<ds:datastoreItem xmlns:ds="http://schemas.openxmlformats.org/officeDocument/2006/customXml" ds:itemID="{7B20F930-A067-438C-9D70-5951E0A75412}">
  <ds:schemaRefs/>
</ds:datastoreItem>
</file>

<file path=customXml/itemProps18.xml><?xml version="1.0" encoding="utf-8"?>
<ds:datastoreItem xmlns:ds="http://schemas.openxmlformats.org/officeDocument/2006/customXml" ds:itemID="{AE3D2783-D586-4023-8C4C-60C61C3D173C}">
  <ds:schemaRefs/>
</ds:datastoreItem>
</file>

<file path=customXml/itemProps19.xml><?xml version="1.0" encoding="utf-8"?>
<ds:datastoreItem xmlns:ds="http://schemas.openxmlformats.org/officeDocument/2006/customXml" ds:itemID="{C913727B-7194-4432-8FF7-210CE91594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Menu</vt:lpstr>
      <vt:lpstr>Produtos</vt:lpstr>
      <vt:lpstr>Vendedores</vt:lpstr>
      <vt:lpstr>Vendas</vt:lpstr>
      <vt:lpstr>Consultas</vt:lpstr>
      <vt:lpstr>DN_Produtos</vt:lpstr>
      <vt:lpstr>DN_Vendas</vt:lpstr>
      <vt:lpstr>Cadastros Auxiliares</vt:lpstr>
      <vt:lpstr>DN_Vendedores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2026-06-06T23:48:01Z</dcterms:modified>
</cp:coreProperties>
</file>