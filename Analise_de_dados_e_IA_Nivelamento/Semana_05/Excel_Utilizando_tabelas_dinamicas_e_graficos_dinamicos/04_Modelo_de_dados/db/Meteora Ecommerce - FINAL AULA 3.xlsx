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6.xml" ContentType="application/vnd.openxmlformats-officedocument.drawing+xml"/>
  <Override PartName="/xl/slicers/slicer1.xml" ContentType="application/vnd.ms-excel.slicer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7.xml" ContentType="application/vnd.openxmlformats-officedocument.drawing+xml"/>
  <Override PartName="/xl/pivotTables/pivotTable5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9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10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Excel_Utilizando_tabelas_dinamicas_e_graficos_dinamicos\04_Modelo_de_dados\db\"/>
    </mc:Choice>
  </mc:AlternateContent>
  <xr:revisionPtr revIDLastSave="0" documentId="13_ncr:1_{E6B41267-0529-4B78-8D56-AB33E473D0D9}" xr6:coauthVersionLast="47" xr6:coauthVersionMax="47" xr10:uidLastSave="{00000000-0000-0000-0000-000000000000}"/>
  <bookViews>
    <workbookView xWindow="-120" yWindow="-120" windowWidth="29040" windowHeight="15720" tabRatio="698" firstSheet="3" activeTab="9" xr2:uid="{F6D97A53-F63B-4272-A181-44B26E0B790F}"/>
  </bookViews>
  <sheets>
    <sheet name="Menu" sheetId="25" r:id="rId1"/>
    <sheet name="Produtos" sheetId="17" r:id="rId2"/>
    <sheet name="Vendedores" sheetId="28" r:id="rId3"/>
    <sheet name="Vendas" sheetId="16" r:id="rId4"/>
    <sheet name="Consultas" sheetId="24" r:id="rId5"/>
    <sheet name="DN_Produtos" sheetId="35" r:id="rId6"/>
    <sheet name="DN_Vendas" sheetId="37" r:id="rId7"/>
    <sheet name="Cadastros Auxiliares" sheetId="23" state="hidden" r:id="rId8"/>
    <sheet name="DN_Vendedores" sheetId="39" r:id="rId9"/>
    <sheet name="Dashboard" sheetId="18" r:id="rId10"/>
  </sheets>
  <definedNames>
    <definedName name="_xlnm._FilterDatabase" localSheetId="3" hidden="1">Vendas!$B$4:$E$86</definedName>
    <definedName name="_xlcn.WorksheetConnection_MeteoraEcommerce.xlsxTB_Produtos1" hidden="1">TB_Produtos[]</definedName>
    <definedName name="_xlcn.WorksheetConnection_MeteoraEcommerce.xlsxTB_Vendas1" hidden="1">TB_Vendas[]</definedName>
    <definedName name="_xlcn.WorksheetConnection_VendedoresA4D91" hidden="1">Vendedores!$A$4:$D$9</definedName>
    <definedName name="Desc_Categorias">'Cadastros Auxiliares'!$B$8:$E$8</definedName>
    <definedName name="Desc_Quantidades">'Cadastros Auxiliares'!$B$8:$B$13</definedName>
    <definedName name="Desc_TabelaToda">'Cadastros Auxiliares'!$B$8:$E$13</definedName>
    <definedName name="Int_Nome_Produtos">#REF!</definedName>
    <definedName name="Int_Quantidade">#REF!</definedName>
    <definedName name="SegmentaçãodeDados_Categoria1">#N/A</definedName>
  </definedNames>
  <calcPr calcId="191029"/>
  <pivotCaches>
    <pivotCache cacheId="0" r:id="rId11"/>
    <pivotCache cacheId="166" r:id="rId12"/>
    <pivotCache cacheId="169" r:id="rId13"/>
    <pivotCache cacheId="190" r:id="rId14"/>
  </pivotCaches>
  <extLst>
    <ext xmlns:x14="http://schemas.microsoft.com/office/spreadsheetml/2009/9/main" uri="{BBE1A952-AA13-448e-AADC-164F8A28A991}">
      <x14:slicerCaches>
        <x14:slicerCache r:id="rId1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Vendedores!$A$4:$D$9"/>
          <x15:modelTable id="TB_Vendas" name="TB_Vendas" connection="WorksheetConnection_Meteora Ecommerce.xlsx!TB_Vendas"/>
          <x15:modelTable id="TB_Produtos" name="TB_Produtos" connection="WorksheetConnection_Meteora Ecommerce.xlsx!TB_Produtos"/>
        </x15:modelTables>
        <x15:modelRelationships>
          <x15:modelRelationship fromTable="TB_Vendas" fromColumn="Código" toTable="TB_Produtos" toColumn="Código"/>
          <x15:modelRelationship fromTable="TB_Vendas" fromColumn="Vendedor" toTable="Intervalo" toColumn="Código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_Vendas" columnName="Data" columnId="Data">
                <x16:calculatedTimeColumn columnName="Data (Índice de Mês)" columnId="Data (Índice de Mês)" contentType="monthsindex" isSelected="1"/>
                <x16:calculatedTimeColumn columnName="Data (Mês)" columnId="Data (Mê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16" l="1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C10" i="24"/>
  <c r="C9" i="24"/>
  <c r="C13" i="24" s="1"/>
  <c r="D5" i="16"/>
  <c r="G5" i="16" s="1"/>
  <c r="H5" i="16" s="1"/>
  <c r="D6" i="16"/>
  <c r="G6" i="16" s="1"/>
  <c r="H6" i="16" s="1"/>
  <c r="D7" i="16"/>
  <c r="G7" i="16" s="1"/>
  <c r="H7" i="16" s="1"/>
  <c r="D8" i="16"/>
  <c r="G8" i="16" s="1"/>
  <c r="H8" i="16" s="1"/>
  <c r="D9" i="16"/>
  <c r="G9" i="16" s="1"/>
  <c r="H9" i="16" s="1"/>
  <c r="D10" i="16"/>
  <c r="G10" i="16" s="1"/>
  <c r="H10" i="16" s="1"/>
  <c r="D11" i="16"/>
  <c r="G11" i="16" s="1"/>
  <c r="H11" i="16" s="1"/>
  <c r="D12" i="16"/>
  <c r="G12" i="16" s="1"/>
  <c r="H12" i="16" s="1"/>
  <c r="D13" i="16"/>
  <c r="G13" i="16" s="1"/>
  <c r="H13" i="16" s="1"/>
  <c r="D14" i="16"/>
  <c r="G14" i="16" s="1"/>
  <c r="H14" i="16" s="1"/>
  <c r="D15" i="16"/>
  <c r="G15" i="16" s="1"/>
  <c r="H15" i="16" s="1"/>
  <c r="D16" i="16"/>
  <c r="G16" i="16" s="1"/>
  <c r="H16" i="16" s="1"/>
  <c r="D17" i="16"/>
  <c r="G17" i="16" s="1"/>
  <c r="H17" i="16" s="1"/>
  <c r="D18" i="16"/>
  <c r="G18" i="16" s="1"/>
  <c r="H18" i="16" s="1"/>
  <c r="D19" i="16"/>
  <c r="G19" i="16" s="1"/>
  <c r="H19" i="16" s="1"/>
  <c r="D20" i="16"/>
  <c r="G20" i="16" s="1"/>
  <c r="H20" i="16" s="1"/>
  <c r="D21" i="16"/>
  <c r="G21" i="16" s="1"/>
  <c r="H21" i="16" s="1"/>
  <c r="D22" i="16"/>
  <c r="G22" i="16" s="1"/>
  <c r="H22" i="16" s="1"/>
  <c r="D23" i="16"/>
  <c r="G23" i="16" s="1"/>
  <c r="H23" i="16" s="1"/>
  <c r="D24" i="16"/>
  <c r="G24" i="16" s="1"/>
  <c r="H24" i="16" s="1"/>
  <c r="D25" i="16"/>
  <c r="G25" i="16" s="1"/>
  <c r="H25" i="16" s="1"/>
  <c r="D26" i="16"/>
  <c r="G26" i="16" s="1"/>
  <c r="H26" i="16" s="1"/>
  <c r="D27" i="16"/>
  <c r="G27" i="16" s="1"/>
  <c r="H27" i="16" s="1"/>
  <c r="D28" i="16"/>
  <c r="G28" i="16" s="1"/>
  <c r="H28" i="16" s="1"/>
  <c r="D29" i="16"/>
  <c r="G29" i="16" s="1"/>
  <c r="H29" i="16" s="1"/>
  <c r="D30" i="16"/>
  <c r="G30" i="16" s="1"/>
  <c r="H30" i="16" s="1"/>
  <c r="D31" i="16"/>
  <c r="G31" i="16" s="1"/>
  <c r="H31" i="16" s="1"/>
  <c r="D32" i="16"/>
  <c r="G32" i="16" s="1"/>
  <c r="H32" i="16" s="1"/>
  <c r="D33" i="16"/>
  <c r="G33" i="16" s="1"/>
  <c r="H33" i="16" s="1"/>
  <c r="D34" i="16"/>
  <c r="G34" i="16" s="1"/>
  <c r="H34" i="16" s="1"/>
  <c r="D35" i="16"/>
  <c r="G35" i="16" s="1"/>
  <c r="H35" i="16" s="1"/>
  <c r="D36" i="16"/>
  <c r="G36" i="16" s="1"/>
  <c r="H36" i="16" s="1"/>
  <c r="D37" i="16"/>
  <c r="G37" i="16" s="1"/>
  <c r="H37" i="16" s="1"/>
  <c r="D38" i="16"/>
  <c r="G38" i="16" s="1"/>
  <c r="H38" i="16" s="1"/>
  <c r="D39" i="16"/>
  <c r="G39" i="16" s="1"/>
  <c r="H39" i="16" s="1"/>
  <c r="D40" i="16"/>
  <c r="G40" i="16" s="1"/>
  <c r="H40" i="16" s="1"/>
  <c r="D41" i="16"/>
  <c r="G41" i="16" s="1"/>
  <c r="H41" i="16" s="1"/>
  <c r="D42" i="16"/>
  <c r="G42" i="16" s="1"/>
  <c r="H42" i="16" s="1"/>
  <c r="D43" i="16"/>
  <c r="G43" i="16" s="1"/>
  <c r="H43" i="16" s="1"/>
  <c r="D44" i="16"/>
  <c r="G44" i="16" s="1"/>
  <c r="H44" i="16" s="1"/>
  <c r="D45" i="16"/>
  <c r="G45" i="16" s="1"/>
  <c r="H45" i="16" s="1"/>
  <c r="D46" i="16"/>
  <c r="G46" i="16" s="1"/>
  <c r="H46" i="16" s="1"/>
  <c r="D47" i="16"/>
  <c r="G47" i="16" s="1"/>
  <c r="H47" i="16" s="1"/>
  <c r="D48" i="16"/>
  <c r="G48" i="16" s="1"/>
  <c r="H48" i="16" s="1"/>
  <c r="D49" i="16"/>
  <c r="G49" i="16" s="1"/>
  <c r="H49" i="16" s="1"/>
  <c r="D50" i="16"/>
  <c r="G50" i="16" s="1"/>
  <c r="H50" i="16" s="1"/>
  <c r="D51" i="16"/>
  <c r="G51" i="16" s="1"/>
  <c r="H51" i="16" s="1"/>
  <c r="D52" i="16"/>
  <c r="G52" i="16" s="1"/>
  <c r="H52" i="16" s="1"/>
  <c r="D53" i="16"/>
  <c r="G53" i="16" s="1"/>
  <c r="H53" i="16" s="1"/>
  <c r="D54" i="16"/>
  <c r="G54" i="16" s="1"/>
  <c r="H54" i="16" s="1"/>
  <c r="D55" i="16"/>
  <c r="G55" i="16" s="1"/>
  <c r="H55" i="16" s="1"/>
  <c r="D56" i="16"/>
  <c r="G56" i="16" s="1"/>
  <c r="H56" i="16" s="1"/>
  <c r="D57" i="16"/>
  <c r="G57" i="16" s="1"/>
  <c r="H57" i="16" s="1"/>
  <c r="D58" i="16"/>
  <c r="G58" i="16" s="1"/>
  <c r="H58" i="16" s="1"/>
  <c r="D59" i="16"/>
  <c r="G59" i="16" s="1"/>
  <c r="H59" i="16" s="1"/>
  <c r="D60" i="16"/>
  <c r="G60" i="16" s="1"/>
  <c r="H60" i="16" s="1"/>
  <c r="D61" i="16"/>
  <c r="G61" i="16" s="1"/>
  <c r="H61" i="16" s="1"/>
  <c r="D62" i="16"/>
  <c r="G62" i="16" s="1"/>
  <c r="H62" i="16" s="1"/>
  <c r="D63" i="16"/>
  <c r="G63" i="16" s="1"/>
  <c r="H63" i="16" s="1"/>
  <c r="D64" i="16"/>
  <c r="G64" i="16" s="1"/>
  <c r="H64" i="16" s="1"/>
  <c r="D65" i="16"/>
  <c r="G65" i="16" s="1"/>
  <c r="H65" i="16" s="1"/>
  <c r="D66" i="16"/>
  <c r="G66" i="16" s="1"/>
  <c r="H66" i="16" s="1"/>
  <c r="D67" i="16"/>
  <c r="G67" i="16" s="1"/>
  <c r="H67" i="16" s="1"/>
  <c r="D68" i="16"/>
  <c r="G68" i="16" s="1"/>
  <c r="H68" i="16" s="1"/>
  <c r="D69" i="16"/>
  <c r="G69" i="16" s="1"/>
  <c r="H69" i="16" s="1"/>
  <c r="D70" i="16"/>
  <c r="G70" i="16" s="1"/>
  <c r="H70" i="16" s="1"/>
  <c r="D71" i="16"/>
  <c r="G71" i="16" s="1"/>
  <c r="H71" i="16" s="1"/>
  <c r="D72" i="16"/>
  <c r="G72" i="16" s="1"/>
  <c r="H72" i="16" s="1"/>
  <c r="D73" i="16"/>
  <c r="G73" i="16" s="1"/>
  <c r="H73" i="16" s="1"/>
  <c r="D74" i="16"/>
  <c r="G74" i="16" s="1"/>
  <c r="H74" i="16" s="1"/>
  <c r="D75" i="16"/>
  <c r="G75" i="16" s="1"/>
  <c r="H75" i="16" s="1"/>
  <c r="D76" i="16"/>
  <c r="G76" i="16" s="1"/>
  <c r="H76" i="16" s="1"/>
  <c r="D77" i="16"/>
  <c r="G77" i="16" s="1"/>
  <c r="H77" i="16" s="1"/>
  <c r="D78" i="16"/>
  <c r="G78" i="16" s="1"/>
  <c r="H78" i="16" s="1"/>
  <c r="D79" i="16"/>
  <c r="G79" i="16" s="1"/>
  <c r="H79" i="16" s="1"/>
  <c r="D80" i="16"/>
  <c r="G80" i="16" s="1"/>
  <c r="H80" i="16" s="1"/>
  <c r="D81" i="16"/>
  <c r="G81" i="16" s="1"/>
  <c r="H81" i="16" s="1"/>
  <c r="D82" i="16"/>
  <c r="G82" i="16" s="1"/>
  <c r="H82" i="16" s="1"/>
  <c r="D83" i="16"/>
  <c r="G83" i="16" s="1"/>
  <c r="H83" i="16" s="1"/>
  <c r="D84" i="16"/>
  <c r="G84" i="16" s="1"/>
  <c r="H84" i="16" s="1"/>
  <c r="D85" i="16"/>
  <c r="G85" i="16" s="1"/>
  <c r="H85" i="16" s="1"/>
  <c r="D86" i="16"/>
  <c r="G86" i="16" s="1"/>
  <c r="H86" i="16" s="1"/>
  <c r="I5" i="16" a="1"/>
  <c r="I5" i="16" s="1"/>
  <c r="I6" i="16" a="1"/>
  <c r="I6" i="16" s="1"/>
  <c r="I7" i="16" a="1"/>
  <c r="I7" i="16" s="1"/>
  <c r="I8" i="16" a="1"/>
  <c r="I8" i="16" s="1"/>
  <c r="I9" i="16" a="1"/>
  <c r="I9" i="16" s="1"/>
  <c r="I10" i="16" a="1"/>
  <c r="I10" i="16" s="1"/>
  <c r="I11" i="16" a="1"/>
  <c r="I11" i="16" s="1"/>
  <c r="I12" i="16" a="1"/>
  <c r="I12" i="16" s="1"/>
  <c r="I13" i="16" a="1"/>
  <c r="I13" i="16" s="1"/>
  <c r="I14" i="16" a="1"/>
  <c r="I14" i="16" s="1"/>
  <c r="I15" i="16" a="1"/>
  <c r="I15" i="16" s="1"/>
  <c r="I16" i="16" a="1"/>
  <c r="I16" i="16" s="1"/>
  <c r="I17" i="16" a="1"/>
  <c r="I17" i="16" s="1"/>
  <c r="I18" i="16" a="1"/>
  <c r="I18" i="16" s="1"/>
  <c r="I19" i="16" a="1"/>
  <c r="I19" i="16" s="1"/>
  <c r="I20" i="16" a="1"/>
  <c r="I20" i="16" s="1"/>
  <c r="I21" i="16" a="1"/>
  <c r="I21" i="16" s="1"/>
  <c r="I22" i="16" a="1"/>
  <c r="I22" i="16" s="1"/>
  <c r="I23" i="16" a="1"/>
  <c r="I23" i="16" s="1"/>
  <c r="I24" i="16" a="1"/>
  <c r="I24" i="16" s="1"/>
  <c r="I25" i="16" a="1"/>
  <c r="I25" i="16" s="1"/>
  <c r="I26" i="16" a="1"/>
  <c r="I26" i="16" s="1"/>
  <c r="I27" i="16" a="1"/>
  <c r="I27" i="16" s="1"/>
  <c r="I28" i="16" a="1"/>
  <c r="I28" i="16" s="1"/>
  <c r="I29" i="16" a="1"/>
  <c r="I29" i="16" s="1"/>
  <c r="I30" i="16" a="1"/>
  <c r="I30" i="16" s="1"/>
  <c r="I31" i="16" a="1"/>
  <c r="I31" i="16" s="1"/>
  <c r="I32" i="16" a="1"/>
  <c r="I32" i="16" s="1"/>
  <c r="I33" i="16" a="1"/>
  <c r="I33" i="16" s="1"/>
  <c r="I34" i="16" a="1"/>
  <c r="I34" i="16" s="1"/>
  <c r="I35" i="16" a="1"/>
  <c r="I35" i="16" s="1"/>
  <c r="I36" i="16" a="1"/>
  <c r="I36" i="16" s="1"/>
  <c r="I37" i="16" a="1"/>
  <c r="I37" i="16" s="1"/>
  <c r="I38" i="16" a="1"/>
  <c r="I38" i="16" s="1"/>
  <c r="I39" i="16" a="1"/>
  <c r="I39" i="16" s="1"/>
  <c r="I40" i="16" a="1"/>
  <c r="I40" i="16" s="1"/>
  <c r="I41" i="16" a="1"/>
  <c r="I41" i="16" s="1"/>
  <c r="I42" i="16" a="1"/>
  <c r="I42" i="16" s="1"/>
  <c r="I43" i="16" a="1"/>
  <c r="I43" i="16" s="1"/>
  <c r="I44" i="16" a="1"/>
  <c r="I44" i="16" s="1"/>
  <c r="I45" i="16" a="1"/>
  <c r="I45" i="16" s="1"/>
  <c r="I46" i="16" a="1"/>
  <c r="I46" i="16" s="1"/>
  <c r="I47" i="16" a="1"/>
  <c r="I47" i="16" s="1"/>
  <c r="I48" i="16" a="1"/>
  <c r="I48" i="16" s="1"/>
  <c r="I49" i="16" a="1"/>
  <c r="I49" i="16" s="1"/>
  <c r="I50" i="16" a="1"/>
  <c r="I50" i="16" s="1"/>
  <c r="I51" i="16" a="1"/>
  <c r="I51" i="16" s="1"/>
  <c r="I52" i="16" a="1"/>
  <c r="I52" i="16" s="1"/>
  <c r="I53" i="16" a="1"/>
  <c r="I53" i="16" s="1"/>
  <c r="I54" i="16" a="1"/>
  <c r="I54" i="16" s="1"/>
  <c r="I55" i="16" a="1"/>
  <c r="I55" i="16" s="1"/>
  <c r="I56" i="16" a="1"/>
  <c r="I56" i="16" s="1"/>
  <c r="I57" i="16" a="1"/>
  <c r="I57" i="16" s="1"/>
  <c r="I58" i="16" a="1"/>
  <c r="I58" i="16" s="1"/>
  <c r="I59" i="16" a="1"/>
  <c r="I59" i="16" s="1"/>
  <c r="I60" i="16" a="1"/>
  <c r="I60" i="16" s="1"/>
  <c r="I61" i="16" a="1"/>
  <c r="I61" i="16" s="1"/>
  <c r="I62" i="16" a="1"/>
  <c r="I62" i="16" s="1"/>
  <c r="I63" i="16" a="1"/>
  <c r="I63" i="16" s="1"/>
  <c r="I64" i="16" a="1"/>
  <c r="I64" i="16" s="1"/>
  <c r="I65" i="16" a="1"/>
  <c r="I65" i="16" s="1"/>
  <c r="I66" i="16" a="1"/>
  <c r="I66" i="16" s="1"/>
  <c r="I67" i="16" a="1"/>
  <c r="I67" i="16" s="1"/>
  <c r="I68" i="16" a="1"/>
  <c r="I68" i="16" s="1"/>
  <c r="I69" i="16" a="1"/>
  <c r="I69" i="16" s="1"/>
  <c r="I70" i="16" a="1"/>
  <c r="I70" i="16" s="1"/>
  <c r="I71" i="16" a="1"/>
  <c r="I71" i="16" s="1"/>
  <c r="I72" i="16" a="1"/>
  <c r="I72" i="16" s="1"/>
  <c r="I73" i="16" a="1"/>
  <c r="I73" i="16" s="1"/>
  <c r="I74" i="16" a="1"/>
  <c r="I74" i="16" s="1"/>
  <c r="I75" i="16" a="1"/>
  <c r="I75" i="16" s="1"/>
  <c r="I76" i="16" a="1"/>
  <c r="I76" i="16" s="1"/>
  <c r="I77" i="16" a="1"/>
  <c r="I77" i="16" s="1"/>
  <c r="I78" i="16" a="1"/>
  <c r="I78" i="16" s="1"/>
  <c r="I79" i="16" a="1"/>
  <c r="I79" i="16" s="1"/>
  <c r="I80" i="16" a="1"/>
  <c r="I80" i="16" s="1"/>
  <c r="I81" i="16" a="1"/>
  <c r="I81" i="16" s="1"/>
  <c r="I82" i="16" a="1"/>
  <c r="I82" i="16" s="1"/>
  <c r="I83" i="16" a="1"/>
  <c r="I83" i="16" s="1"/>
  <c r="I84" i="16" a="1"/>
  <c r="I84" i="16" s="1"/>
  <c r="I85" i="16" a="1"/>
  <c r="I85" i="16" s="1"/>
  <c r="I86" i="16" a="1"/>
  <c r="I86" i="16" s="1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C11" i="24" a="1"/>
  <c r="C11" i="24" s="1"/>
  <c r="F7" i="24"/>
  <c r="C8" i="24" a="1"/>
  <c r="C8" i="24" s="1"/>
  <c r="C7" i="24"/>
  <c r="F9" i="24"/>
  <c r="BK4" i="18"/>
  <c r="AQ4" i="18"/>
  <c r="W4" i="18"/>
  <c r="C12" i="24" l="1" a="1"/>
  <c r="C12" i="24" s="1"/>
  <c r="K51" i="16"/>
  <c r="K39" i="16"/>
  <c r="K27" i="16"/>
  <c r="K15" i="16"/>
  <c r="K50" i="16"/>
  <c r="K38" i="16"/>
  <c r="K26" i="16"/>
  <c r="K14" i="16"/>
  <c r="K76" i="16"/>
  <c r="K64" i="16"/>
  <c r="K52" i="16"/>
  <c r="K40" i="16"/>
  <c r="K28" i="16"/>
  <c r="K16" i="16"/>
  <c r="K85" i="16"/>
  <c r="K73" i="16"/>
  <c r="K61" i="16"/>
  <c r="K49" i="16"/>
  <c r="K37" i="16"/>
  <c r="K25" i="16"/>
  <c r="K13" i="16"/>
  <c r="K86" i="16"/>
  <c r="K84" i="16"/>
  <c r="K72" i="16"/>
  <c r="K60" i="16"/>
  <c r="K48" i="16"/>
  <c r="K36" i="16"/>
  <c r="K24" i="16"/>
  <c r="K12" i="16"/>
  <c r="K83" i="16"/>
  <c r="K71" i="16"/>
  <c r="K59" i="16"/>
  <c r="K47" i="16"/>
  <c r="K35" i="16"/>
  <c r="K23" i="16"/>
  <c r="K11" i="16"/>
  <c r="K82" i="16"/>
  <c r="K70" i="16"/>
  <c r="K58" i="16"/>
  <c r="K46" i="16"/>
  <c r="K34" i="16"/>
  <c r="K22" i="16"/>
  <c r="K10" i="16"/>
  <c r="K81" i="16"/>
  <c r="K69" i="16"/>
  <c r="K57" i="16"/>
  <c r="K45" i="16"/>
  <c r="K33" i="16"/>
  <c r="K21" i="16"/>
  <c r="K9" i="16"/>
  <c r="K63" i="16"/>
  <c r="K80" i="16"/>
  <c r="K68" i="16"/>
  <c r="K56" i="16"/>
  <c r="K44" i="16"/>
  <c r="K32" i="16"/>
  <c r="K20" i="16"/>
  <c r="K8" i="16"/>
  <c r="K62" i="16"/>
  <c r="K79" i="16"/>
  <c r="K67" i="16"/>
  <c r="K55" i="16"/>
  <c r="K43" i="16"/>
  <c r="K31" i="16"/>
  <c r="K19" i="16"/>
  <c r="K7" i="16"/>
  <c r="K78" i="16"/>
  <c r="K66" i="16"/>
  <c r="K54" i="16"/>
  <c r="K42" i="16"/>
  <c r="K30" i="16"/>
  <c r="K18" i="16"/>
  <c r="K6" i="16"/>
  <c r="K75" i="16"/>
  <c r="K74" i="16"/>
  <c r="K77" i="16"/>
  <c r="K65" i="16"/>
  <c r="K53" i="16"/>
  <c r="K41" i="16"/>
  <c r="K29" i="16"/>
  <c r="K17" i="16"/>
  <c r="K5" i="16"/>
  <c r="L68" i="16"/>
  <c r="L76" i="16"/>
  <c r="A76" i="16"/>
  <c r="A77" i="16"/>
  <c r="A78" i="16"/>
  <c r="A79" i="16"/>
  <c r="A80" i="16"/>
  <c r="A81" i="16"/>
  <c r="A82" i="16"/>
  <c r="A83" i="16"/>
  <c r="A84" i="16"/>
  <c r="A85" i="16"/>
  <c r="A86" i="16"/>
  <c r="A65" i="16"/>
  <c r="A66" i="16"/>
  <c r="A67" i="16"/>
  <c r="A68" i="16"/>
  <c r="A69" i="16"/>
  <c r="A70" i="16"/>
  <c r="A71" i="16"/>
  <c r="A72" i="16"/>
  <c r="A73" i="16"/>
  <c r="A74" i="16"/>
  <c r="A75" i="16"/>
  <c r="A64" i="16"/>
  <c r="A5" i="16"/>
  <c r="L83" i="16" l="1"/>
  <c r="L75" i="16"/>
  <c r="L73" i="16"/>
  <c r="L65" i="16"/>
  <c r="L64" i="16"/>
  <c r="L79" i="16"/>
  <c r="L71" i="16"/>
  <c r="L80" i="16"/>
  <c r="L72" i="16"/>
  <c r="L84" i="16"/>
  <c r="L67" i="16"/>
  <c r="L82" i="16"/>
  <c r="L74" i="16"/>
  <c r="L66" i="16"/>
  <c r="L86" i="16"/>
  <c r="L78" i="16"/>
  <c r="L70" i="16"/>
  <c r="L85" i="16"/>
  <c r="L77" i="16"/>
  <c r="L69" i="16"/>
  <c r="L81" i="16"/>
  <c r="L5" i="16" l="1"/>
  <c r="L6" i="16"/>
  <c r="L7" i="16"/>
  <c r="L8" i="16"/>
  <c r="L9" i="16"/>
  <c r="L10" i="16"/>
  <c r="L11" i="16"/>
  <c r="F8" i="24" s="1"/>
  <c r="L12" i="16"/>
  <c r="L13" i="16"/>
  <c r="L14" i="16"/>
  <c r="L15" i="16"/>
  <c r="L16" i="16"/>
  <c r="L17" i="16"/>
  <c r="L18" i="16"/>
  <c r="L19" i="16"/>
  <c r="L20" i="16"/>
  <c r="L21" i="16"/>
  <c r="L22" i="16"/>
  <c r="L23" i="16"/>
  <c r="L24" i="16"/>
  <c r="L25" i="16"/>
  <c r="L26" i="16"/>
  <c r="L27" i="16"/>
  <c r="L28" i="16"/>
  <c r="L29" i="16"/>
  <c r="L30" i="16"/>
  <c r="L31" i="16"/>
  <c r="L32" i="16"/>
  <c r="L33" i="16"/>
  <c r="L34" i="16"/>
  <c r="L35" i="16"/>
  <c r="L36" i="16"/>
  <c r="L37" i="16"/>
  <c r="L38" i="16"/>
  <c r="L39" i="16"/>
  <c r="L40" i="16"/>
  <c r="L41" i="16"/>
  <c r="L42" i="16"/>
  <c r="L43" i="16"/>
  <c r="L44" i="16"/>
  <c r="L45" i="16"/>
  <c r="L46" i="16"/>
  <c r="L47" i="16"/>
  <c r="L48" i="16"/>
  <c r="L49" i="16"/>
  <c r="L50" i="16"/>
  <c r="L51" i="16"/>
  <c r="L52" i="16"/>
  <c r="L53" i="16"/>
  <c r="L54" i="16"/>
  <c r="L55" i="16"/>
  <c r="L56" i="16"/>
  <c r="L57" i="16"/>
  <c r="L58" i="16"/>
  <c r="L59" i="16"/>
  <c r="L60" i="16"/>
  <c r="L61" i="16"/>
  <c r="L62" i="16"/>
  <c r="L63" i="16"/>
  <c r="A23" i="16" l="1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FFF337-09CD-4436-A50A-8F42F09EC6A0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DF8DDAA-0DB8-409C-8D37-0EEA7E195179}" name="WorksheetConnection_Meteora Ecommerce.xlsx!TB_Produtos" type="102" refreshedVersion="8" minRefreshableVersion="5">
    <extLst>
      <ext xmlns:x15="http://schemas.microsoft.com/office/spreadsheetml/2010/11/main" uri="{DE250136-89BD-433C-8126-D09CA5730AF9}">
        <x15:connection id="TB_Produtos" autoDelete="1">
          <x15:rangePr sourceName="_xlcn.WorksheetConnection_MeteoraEcommerce.xlsxTB_Produtos1"/>
        </x15:connection>
      </ext>
    </extLst>
  </connection>
  <connection id="3" xr16:uid="{C7E13675-7B1F-44E3-8864-3EB9FC65D6F9}" name="WorksheetConnection_Meteora Ecommerce.xlsx!TB_Vendas" type="102" refreshedVersion="8" minRefreshableVersion="5">
    <extLst>
      <ext xmlns:x15="http://schemas.microsoft.com/office/spreadsheetml/2010/11/main" uri="{DE250136-89BD-433C-8126-D09CA5730AF9}">
        <x15:connection id="TB_Vendas" autoDelete="1">
          <x15:rangePr sourceName="_xlcn.WorksheetConnection_MeteoraEcommerce.xlsxTB_Vendas1"/>
        </x15:connection>
      </ext>
    </extLst>
  </connection>
  <connection id="4" xr16:uid="{E680CFC7-5590-43CD-9CC3-C3E9A06CDB40}" name="WorksheetConnection_Vendedores!$A$4:$D$9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VendedoresA4D9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<sst xmlns="http://schemas.openxmlformats.org/spreadsheetml/2006/main" count="521" uniqueCount="177">
  <si>
    <t>Produtos</t>
  </si>
  <si>
    <t>Tamanho</t>
  </si>
  <si>
    <t>P</t>
  </si>
  <si>
    <t>M</t>
  </si>
  <si>
    <t>G</t>
  </si>
  <si>
    <t>Bermuda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</si>
  <si>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</si>
  <si>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</si>
  <si>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</si>
  <si>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</si>
  <si>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</si>
  <si>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</si>
  <si>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</si>
  <si>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</si>
  <si>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</si>
  <si>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Qtd</t>
  </si>
  <si>
    <t>Total</t>
  </si>
  <si>
    <t xml:space="preserve">Camiseta Lisa </t>
  </si>
  <si>
    <t>Camiseta Estampada</t>
  </si>
  <si>
    <t>Óculos redondo</t>
  </si>
  <si>
    <t>Óculos quadrado</t>
  </si>
  <si>
    <t>Jaqueta jeans</t>
  </si>
  <si>
    <t>Jaqueta couro</t>
  </si>
  <si>
    <t>Calça jeans</t>
  </si>
  <si>
    <t>Vestido longo</t>
  </si>
  <si>
    <t>Vestido curto</t>
  </si>
  <si>
    <t>Calça legging</t>
  </si>
  <si>
    <t>Tênis Atitas</t>
  </si>
  <si>
    <t>Bolsa de couro</t>
  </si>
  <si>
    <t>Bolsa coringa</t>
  </si>
  <si>
    <t>Código</t>
  </si>
  <si>
    <t>PR001</t>
  </si>
  <si>
    <t>PR002</t>
  </si>
  <si>
    <t>PR003</t>
  </si>
  <si>
    <t>PR004</t>
  </si>
  <si>
    <t>PR005</t>
  </si>
  <si>
    <t>PR006</t>
  </si>
  <si>
    <t>PR007</t>
  </si>
  <si>
    <t>PR008</t>
  </si>
  <si>
    <t>PR009</t>
  </si>
  <si>
    <t>PR010</t>
  </si>
  <si>
    <t>PR011</t>
  </si>
  <si>
    <t>PR012</t>
  </si>
  <si>
    <t>PR013</t>
  </si>
  <si>
    <t>PR014</t>
  </si>
  <si>
    <t>PR015</t>
  </si>
  <si>
    <t>PR016</t>
  </si>
  <si>
    <t>PR017</t>
  </si>
  <si>
    <t>PR018</t>
  </si>
  <si>
    <t>PR019</t>
  </si>
  <si>
    <t>PR020</t>
  </si>
  <si>
    <t>PR021</t>
  </si>
  <si>
    <t>PR022</t>
  </si>
  <si>
    <t>PR023</t>
  </si>
  <si>
    <t>PR024</t>
  </si>
  <si>
    <t>PR025</t>
  </si>
  <si>
    <t>PR026</t>
  </si>
  <si>
    <t>PR027</t>
  </si>
  <si>
    <t>PR028</t>
  </si>
  <si>
    <t>PR029</t>
  </si>
  <si>
    <t>PR030</t>
  </si>
  <si>
    <t>PR031</t>
  </si>
  <si>
    <t>PR032</t>
  </si>
  <si>
    <t>PR033</t>
  </si>
  <si>
    <t>PR034</t>
  </si>
  <si>
    <t>PR035</t>
  </si>
  <si>
    <t>PR036</t>
  </si>
  <si>
    <t>PR037</t>
  </si>
  <si>
    <t>PR038</t>
  </si>
  <si>
    <t>PR039</t>
  </si>
  <si>
    <t>Clara</t>
  </si>
  <si>
    <t>João</t>
  </si>
  <si>
    <t>Vendedor</t>
  </si>
  <si>
    <t>Sarah</t>
  </si>
  <si>
    <t>Data</t>
  </si>
  <si>
    <t>Estoque</t>
  </si>
  <si>
    <t>Total de Produtos</t>
  </si>
  <si>
    <t>Produtos Vendidos</t>
  </si>
  <si>
    <t>Total de Vendas</t>
  </si>
  <si>
    <t>Vendas Mensais</t>
  </si>
  <si>
    <t>Vendas por Categoria</t>
  </si>
  <si>
    <t>Ranking Vendedores</t>
  </si>
  <si>
    <t>Vendedores</t>
  </si>
  <si>
    <t>PR040</t>
  </si>
  <si>
    <t>PR041</t>
  </si>
  <si>
    <t>PR042</t>
  </si>
  <si>
    <t>PR043</t>
  </si>
  <si>
    <t>Vestido Floral</t>
  </si>
  <si>
    <t>PR044</t>
  </si>
  <si>
    <t>PR045</t>
  </si>
  <si>
    <t>PR046</t>
  </si>
  <si>
    <t>Jaqueta de Couro</t>
  </si>
  <si>
    <t>PR047</t>
  </si>
  <si>
    <t>PR048</t>
  </si>
  <si>
    <t>PR049</t>
  </si>
  <si>
    <t>Camiseta Listrada</t>
  </si>
  <si>
    <t>PR050</t>
  </si>
  <si>
    <t>PR051</t>
  </si>
  <si>
    <t>PR052</t>
  </si>
  <si>
    <t>Saia Plissada</t>
  </si>
  <si>
    <t>PR053</t>
  </si>
  <si>
    <t>PR054</t>
  </si>
  <si>
    <t>PR055</t>
  </si>
  <si>
    <t>PR056</t>
  </si>
  <si>
    <t>Sandália Rasteira</t>
  </si>
  <si>
    <t>PR057</t>
  </si>
  <si>
    <t>PR058</t>
  </si>
  <si>
    <t>Camiseta Conforto</t>
  </si>
  <si>
    <t>Calça Alfaiataria</t>
  </si>
  <si>
    <t>PR059</t>
  </si>
  <si>
    <t>PR060</t>
  </si>
  <si>
    <t>Tênis Chunky</t>
  </si>
  <si>
    <t>Nº</t>
  </si>
  <si>
    <t>VD001</t>
  </si>
  <si>
    <t>VD002</t>
  </si>
  <si>
    <t>VD003</t>
  </si>
  <si>
    <t>VD004</t>
  </si>
  <si>
    <t>VD005</t>
  </si>
  <si>
    <t>Amanda</t>
  </si>
  <si>
    <t>Bruno</t>
  </si>
  <si>
    <t>Controle de Produtos</t>
  </si>
  <si>
    <t>Vendas</t>
  </si>
  <si>
    <t>Cadastros Gerais</t>
  </si>
  <si>
    <t>Dia da Semana</t>
  </si>
  <si>
    <t>Domingo</t>
  </si>
  <si>
    <t>Segunda-feira</t>
  </si>
  <si>
    <t>Terça-feira</t>
  </si>
  <si>
    <t>Quarta-feira</t>
  </si>
  <si>
    <t>Quinta-feira</t>
  </si>
  <si>
    <t>Sexta-feira</t>
  </si>
  <si>
    <t>Sábado</t>
  </si>
  <si>
    <t>Consultas</t>
  </si>
  <si>
    <t>Cidade</t>
  </si>
  <si>
    <t>Desc. Máximo</t>
  </si>
  <si>
    <t>São Paulo</t>
  </si>
  <si>
    <t>Rio de Janeiro</t>
  </si>
  <si>
    <t>Natal</t>
  </si>
  <si>
    <t>Manaus</t>
  </si>
  <si>
    <t>Belo Horizonte</t>
  </si>
  <si>
    <t>Desconto por Categoria e Qtd</t>
  </si>
  <si>
    <t>Consulta Produto</t>
  </si>
  <si>
    <t xml:space="preserve">Código: </t>
  </si>
  <si>
    <t xml:space="preserve">Descrição: </t>
  </si>
  <si>
    <t xml:space="preserve">Tamanho: </t>
  </si>
  <si>
    <t xml:space="preserve">Categoria: </t>
  </si>
  <si>
    <t xml:space="preserve">Estoque: </t>
  </si>
  <si>
    <t xml:space="preserve">Data: </t>
  </si>
  <si>
    <t>Vendas do Dia</t>
  </si>
  <si>
    <t xml:space="preserve">Total Qtd: </t>
  </si>
  <si>
    <t xml:space="preserve">Dia da Semana: </t>
  </si>
  <si>
    <t xml:space="preserve">Total Valor: </t>
  </si>
  <si>
    <t xml:space="preserve">Preço Unitário: </t>
  </si>
  <si>
    <t xml:space="preserve">Situação: </t>
  </si>
  <si>
    <t>Estoque Mínimo</t>
  </si>
  <si>
    <t xml:space="preserve">Estoque Mínimo: </t>
  </si>
  <si>
    <t>Indice</t>
  </si>
  <si>
    <t>Desconto 
(Passo a Passo)</t>
  </si>
  <si>
    <t>Desconto 
(Diretão)</t>
  </si>
  <si>
    <t>Desconto 
(Vendedor)</t>
  </si>
  <si>
    <t>Desconto Final</t>
  </si>
  <si>
    <t>Rótulos de Linha</t>
  </si>
  <si>
    <t>Total Geral</t>
  </si>
  <si>
    <t>Soma de Estoque</t>
  </si>
  <si>
    <t>Soma de Preço Unitário</t>
  </si>
  <si>
    <t>Soma de Qtd</t>
  </si>
  <si>
    <t>Contagem de Produtos</t>
  </si>
  <si>
    <t>jan</t>
  </si>
  <si>
    <t>fev</t>
  </si>
  <si>
    <t>mar</t>
  </si>
  <si>
    <t>abr</t>
  </si>
  <si>
    <t>mai</t>
  </si>
  <si>
    <t>jun</t>
  </si>
  <si>
    <t>jul</t>
  </si>
  <si>
    <t>ago</t>
  </si>
  <si>
    <t>Soma de Total</t>
  </si>
  <si>
    <t>% Categoria</t>
  </si>
  <si>
    <t>% Restante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</si>
</sst>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&quot;$&quot;\ * #,##0.00_-;\-&quot;$&quot;\ * #,##0.00_-;_-&quot;$&quot;\ * &quot;-&quot;??_-;_-@_-"/>
    <numFmt numFmtId="165" formatCode="_-[$R$-416]\ * #,##0.00_-;\-[$R$-416]\ * #,##0.00_-;_-[$R$-416]\ * &quot;-&quot;??_-;_-@_-"/>
    <numFmt numFmtId="166" formatCode="0%;\-0%;0%"/>
  </numFmts>
  <fonts count="28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b/>
      <sz val="16"/>
      <color rgb="FFDAFF01"/>
      <name val="Montserrat"/>
    </font>
    <font>
      <sz val="16"/>
      <color theme="1"/>
      <name val="Montserrat"/>
    </font>
    <font>
      <b/>
      <sz val="26"/>
      <color theme="1"/>
      <name val="Montserrat"/>
    </font>
    <font>
      <b/>
      <sz val="24"/>
      <color theme="1"/>
      <name val="Montserrat"/>
    </font>
    <font>
      <sz val="8"/>
      <name val="Calibri"/>
      <family val="2"/>
      <scheme val="minor"/>
    </font>
    <font>
      <sz val="12"/>
      <color theme="1"/>
      <name val="Montserrat"/>
    </font>
    <font>
      <b/>
      <sz val="12"/>
      <color theme="0"/>
      <name val="Montserrat"/>
    </font>
    <font>
      <b/>
      <sz val="14"/>
      <color theme="0" tint="-4.9989318521683403E-2"/>
      <name val="Montserrat"/>
    </font>
    <font>
      <b/>
      <sz val="11"/>
      <color theme="1"/>
      <name val="Montserrat"/>
    </font>
    <font>
      <b/>
      <sz val="12"/>
      <color theme="0" tint="-4.9989318521683403E-2"/>
      <name val="Montserrat"/>
    </font>
    <font>
      <b/>
      <sz val="16"/>
      <color theme="1"/>
      <name val="MuseoModerno"/>
    </font>
    <font>
      <b/>
      <sz val="12"/>
      <color theme="1"/>
      <name val="Montserrat"/>
    </font>
    <font>
      <b/>
      <sz val="12"/>
      <color theme="1"/>
      <name val="MuseoModerno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  <font>
      <b/>
      <sz val="18"/>
      <color theme="1"/>
      <name val="MuseoModerno"/>
    </font>
    <font>
      <b/>
      <sz val="14"/>
      <color theme="1"/>
      <name val="Montserrat"/>
    </font>
    <font>
      <b/>
      <sz val="18"/>
      <color rgb="FFDAFF0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8"/>
      <color theme="0" tint="-4.9989318521683403E-2"/>
      <name val="Montserrat"/>
    </font>
    <font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7"/>
      </patternFill>
    </fill>
    <fill>
      <patternFill patternType="solid">
        <fgColor theme="1"/>
        <bgColor theme="1"/>
      </patternFill>
    </fill>
    <fill>
      <patternFill patternType="solid">
        <fgColor rgb="FFCCCCCC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thick">
        <color theme="0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3" fillId="5" borderId="0" applyNumberFormat="0" applyBorder="0" applyAlignment="0" applyProtection="0"/>
    <xf numFmtId="0" fontId="4" fillId="3" borderId="0" applyNumberFormat="0" applyBorder="0" applyAlignment="0" applyProtection="0">
      <alignment horizontal="center"/>
    </xf>
    <xf numFmtId="0" fontId="2" fillId="4" borderId="7" applyNumberFormat="0" applyBorder="0" applyAlignment="0" applyProtection="0">
      <alignment horizontal="center"/>
    </xf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0" xfId="0" applyFont="1"/>
    <xf numFmtId="0" fontId="8" fillId="0" borderId="0" xfId="0" applyFont="1"/>
    <xf numFmtId="165" fontId="0" fillId="0" borderId="0" xfId="0" applyNumberFormat="1" applyAlignment="1">
      <alignment horizontal="center"/>
    </xf>
    <xf numFmtId="44" fontId="0" fillId="0" borderId="0" xfId="0" applyNumberFormat="1"/>
    <xf numFmtId="0" fontId="12" fillId="0" borderId="0" xfId="0" applyFont="1" applyAlignment="1">
      <alignment horizontal="center"/>
    </xf>
    <xf numFmtId="0" fontId="14" fillId="2" borderId="19" xfId="3" applyFont="1" applyFill="1" applyBorder="1" applyAlignment="1">
      <alignment horizontal="center"/>
    </xf>
    <xf numFmtId="1" fontId="18" fillId="7" borderId="7" xfId="0" applyNumberFormat="1" applyFont="1" applyFill="1" applyBorder="1" applyAlignment="1">
      <alignment horizontal="center"/>
    </xf>
    <xf numFmtId="1" fontId="18" fillId="7" borderId="20" xfId="0" applyNumberFormat="1" applyFont="1" applyFill="1" applyBorder="1" applyAlignment="1">
      <alignment horizontal="center"/>
    </xf>
    <xf numFmtId="0" fontId="0" fillId="3" borderId="0" xfId="0" applyFill="1"/>
    <xf numFmtId="0" fontId="0" fillId="7" borderId="0" xfId="0" applyFill="1"/>
    <xf numFmtId="0" fontId="1" fillId="0" borderId="0" xfId="0" applyFont="1" applyAlignment="1">
      <alignment horizontal="center"/>
    </xf>
    <xf numFmtId="0" fontId="17" fillId="3" borderId="0" xfId="0" applyFont="1" applyFill="1"/>
    <xf numFmtId="0" fontId="1" fillId="7" borderId="0" xfId="0" applyFont="1" applyFill="1" applyAlignment="1">
      <alignment horizontal="center"/>
    </xf>
    <xf numFmtId="0" fontId="19" fillId="3" borderId="0" xfId="0" applyFont="1" applyFill="1" applyAlignment="1">
      <alignment vertical="center"/>
    </xf>
    <xf numFmtId="0" fontId="21" fillId="0" borderId="0" xfId="6" applyFont="1" applyFill="1" applyAlignment="1">
      <alignment horizontal="center"/>
    </xf>
    <xf numFmtId="0" fontId="22" fillId="3" borderId="0" xfId="0" applyFont="1" applyFill="1" applyAlignment="1">
      <alignment vertical="center"/>
    </xf>
    <xf numFmtId="0" fontId="23" fillId="7" borderId="23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23" fillId="7" borderId="27" xfId="0" applyFont="1" applyFill="1" applyBorder="1" applyAlignment="1">
      <alignment horizontal="center"/>
    </xf>
    <xf numFmtId="0" fontId="23" fillId="7" borderId="24" xfId="0" applyFont="1" applyFill="1" applyBorder="1" applyAlignment="1">
      <alignment horizontal="center" vertical="center"/>
    </xf>
    <xf numFmtId="0" fontId="14" fillId="2" borderId="16" xfId="3" applyFont="1" applyFill="1" applyBorder="1" applyAlignment="1">
      <alignment horizontal="center"/>
    </xf>
    <xf numFmtId="0" fontId="14" fillId="2" borderId="17" xfId="3" applyFont="1" applyFill="1" applyBorder="1" applyAlignment="1">
      <alignment horizontal="center"/>
    </xf>
    <xf numFmtId="0" fontId="14" fillId="2" borderId="21" xfId="3" applyFont="1" applyFill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1" fontId="15" fillId="0" borderId="1" xfId="0" applyNumberFormat="1" applyFont="1" applyBorder="1" applyAlignment="1">
      <alignment horizontal="center"/>
    </xf>
    <xf numFmtId="0" fontId="14" fillId="2" borderId="18" xfId="3" applyFont="1" applyFill="1" applyBorder="1" applyAlignment="1">
      <alignment horizontal="center"/>
    </xf>
    <xf numFmtId="9" fontId="15" fillId="0" borderId="7" xfId="5" applyFont="1" applyBorder="1" applyAlignment="1">
      <alignment horizontal="center" vertical="center"/>
    </xf>
    <xf numFmtId="0" fontId="14" fillId="2" borderId="28" xfId="3" applyFont="1" applyFill="1" applyBorder="1" applyAlignment="1">
      <alignment horizontal="center" vertical="center" wrapText="1"/>
    </xf>
    <xf numFmtId="0" fontId="14" fillId="2" borderId="28" xfId="3" applyFont="1" applyFill="1" applyBorder="1" applyAlignment="1">
      <alignment horizontal="center" vertical="center"/>
    </xf>
    <xf numFmtId="9" fontId="15" fillId="0" borderId="28" xfId="5" applyFont="1" applyBorder="1" applyAlignment="1">
      <alignment horizontal="center" vertical="center"/>
    </xf>
    <xf numFmtId="0" fontId="17" fillId="3" borderId="0" xfId="0" applyFont="1" applyFill="1" applyAlignment="1">
      <alignment vertical="center"/>
    </xf>
    <xf numFmtId="1" fontId="18" fillId="7" borderId="2" xfId="0" applyNumberFormat="1" applyFont="1" applyFill="1" applyBorder="1" applyAlignment="1">
      <alignment horizontal="center"/>
    </xf>
    <xf numFmtId="1" fontId="18" fillId="7" borderId="4" xfId="0" applyNumberFormat="1" applyFont="1" applyFill="1" applyBorder="1" applyAlignment="1">
      <alignment horizontal="center"/>
    </xf>
    <xf numFmtId="1" fontId="15" fillId="0" borderId="5" xfId="0" applyNumberFormat="1" applyFont="1" applyBorder="1" applyAlignment="1">
      <alignment horizontal="center"/>
    </xf>
    <xf numFmtId="9" fontId="15" fillId="0" borderId="3" xfId="5" applyFont="1" applyBorder="1" applyAlignment="1">
      <alignment horizontal="center"/>
    </xf>
    <xf numFmtId="9" fontId="15" fillId="0" borderId="6" xfId="5" applyFont="1" applyBorder="1" applyAlignment="1">
      <alignment horizontal="center"/>
    </xf>
    <xf numFmtId="9" fontId="0" fillId="0" borderId="0" xfId="5" applyFont="1"/>
    <xf numFmtId="9" fontId="0" fillId="0" borderId="0" xfId="5" applyFont="1" applyAlignment="1">
      <alignment horizontal="center"/>
    </xf>
    <xf numFmtId="0" fontId="23" fillId="7" borderId="22" xfId="0" applyFont="1" applyFill="1" applyBorder="1" applyAlignment="1">
      <alignment horizontal="center"/>
    </xf>
    <xf numFmtId="0" fontId="16" fillId="2" borderId="25" xfId="3" applyFont="1" applyFill="1" applyBorder="1" applyAlignment="1">
      <alignment horizontal="right"/>
    </xf>
    <xf numFmtId="0" fontId="16" fillId="2" borderId="11" xfId="3" applyFont="1" applyFill="1" applyBorder="1" applyAlignment="1">
      <alignment horizontal="right"/>
    </xf>
    <xf numFmtId="0" fontId="16" fillId="2" borderId="26" xfId="3" applyFont="1" applyFill="1" applyBorder="1" applyAlignment="1">
      <alignment horizontal="right"/>
    </xf>
    <xf numFmtId="0" fontId="16" fillId="2" borderId="29" xfId="3" applyFont="1" applyFill="1" applyBorder="1" applyAlignment="1">
      <alignment horizontal="right"/>
    </xf>
    <xf numFmtId="14" fontId="23" fillId="7" borderId="22" xfId="0" applyNumberFormat="1" applyFont="1" applyFill="1" applyBorder="1" applyAlignment="1">
      <alignment horizontal="center"/>
    </xf>
    <xf numFmtId="165" fontId="23" fillId="7" borderId="23" xfId="0" applyNumberFormat="1" applyFont="1" applyFill="1" applyBorder="1" applyAlignment="1">
      <alignment horizontal="center" vertical="center"/>
    </xf>
    <xf numFmtId="0" fontId="1" fillId="0" borderId="0" xfId="0" applyFont="1"/>
    <xf numFmtId="0" fontId="25" fillId="0" borderId="0" xfId="0" applyFont="1"/>
    <xf numFmtId="0" fontId="14" fillId="2" borderId="8" xfId="3" applyFont="1" applyFill="1" applyBorder="1" applyAlignment="1">
      <alignment horizontal="center" vertical="center" wrapText="1"/>
    </xf>
    <xf numFmtId="0" fontId="14" fillId="2" borderId="30" xfId="3" applyFont="1" applyFill="1" applyBorder="1" applyAlignment="1">
      <alignment horizontal="center" vertical="center" wrapText="1"/>
    </xf>
    <xf numFmtId="0" fontId="15" fillId="0" borderId="28" xfId="5" applyNumberFormat="1" applyFont="1" applyBorder="1" applyAlignment="1">
      <alignment horizontal="center" vertical="center"/>
    </xf>
    <xf numFmtId="165" fontId="23" fillId="7" borderId="24" xfId="0" applyNumberFormat="1" applyFont="1" applyFill="1" applyBorder="1" applyAlignment="1">
      <alignment horizontal="center" vertical="center"/>
    </xf>
    <xf numFmtId="0" fontId="2" fillId="2" borderId="0" xfId="3" applyFill="1" applyBorder="1" applyAlignment="1">
      <alignment horizontal="center" vertical="center" wrapText="1"/>
    </xf>
    <xf numFmtId="0" fontId="16" fillId="2" borderId="0" xfId="3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6" fillId="2" borderId="0" xfId="3" applyFont="1" applyFill="1" applyBorder="1" applyAlignment="1">
      <alignment horizontal="center" vertical="center" wrapText="1"/>
    </xf>
    <xf numFmtId="9" fontId="25" fillId="0" borderId="0" xfId="5" applyFont="1" applyFill="1"/>
    <xf numFmtId="0" fontId="0" fillId="0" borderId="0" xfId="0" pivotButton="1"/>
    <xf numFmtId="0" fontId="0" fillId="0" borderId="0" xfId="0" applyAlignment="1">
      <alignment horizontal="left"/>
    </xf>
    <xf numFmtId="0" fontId="27" fillId="0" borderId="0" xfId="0" applyFont="1" applyAlignment="1">
      <alignment horizontal="left"/>
    </xf>
    <xf numFmtId="165" fontId="27" fillId="0" borderId="0" xfId="0" applyNumberFormat="1" applyFont="1"/>
    <xf numFmtId="0" fontId="27" fillId="0" borderId="0" xfId="0" applyFont="1" applyAlignment="1">
      <alignment horizontal="center"/>
    </xf>
    <xf numFmtId="165" fontId="0" fillId="7" borderId="23" xfId="0" applyNumberFormat="1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65" fontId="10" fillId="0" borderId="8" xfId="4" applyNumberFormat="1" applyFont="1" applyBorder="1" applyAlignment="1">
      <alignment horizontal="center"/>
    </xf>
    <xf numFmtId="165" fontId="10" fillId="0" borderId="9" xfId="4" applyNumberFormat="1" applyFont="1" applyBorder="1" applyAlignment="1">
      <alignment horizontal="center"/>
    </xf>
    <xf numFmtId="165" fontId="10" fillId="0" borderId="10" xfId="4" applyNumberFormat="1" applyFont="1" applyBorder="1" applyAlignment="1">
      <alignment horizontal="center"/>
    </xf>
    <xf numFmtId="165" fontId="10" fillId="0" borderId="11" xfId="4" applyNumberFormat="1" applyFont="1" applyBorder="1" applyAlignment="1">
      <alignment horizontal="center"/>
    </xf>
    <xf numFmtId="165" fontId="10" fillId="0" borderId="0" xfId="4" applyNumberFormat="1" applyFont="1" applyBorder="1" applyAlignment="1">
      <alignment horizontal="center"/>
    </xf>
    <xf numFmtId="165" fontId="10" fillId="0" borderId="12" xfId="4" applyNumberFormat="1" applyFont="1" applyBorder="1" applyAlignment="1">
      <alignment horizontal="center"/>
    </xf>
    <xf numFmtId="165" fontId="10" fillId="0" borderId="13" xfId="4" applyNumberFormat="1" applyFont="1" applyBorder="1" applyAlignment="1">
      <alignment horizontal="center"/>
    </xf>
    <xf numFmtId="165" fontId="10" fillId="0" borderId="14" xfId="4" applyNumberFormat="1" applyFont="1" applyBorder="1" applyAlignment="1">
      <alignment horizontal="center"/>
    </xf>
    <xf numFmtId="165" fontId="10" fillId="0" borderId="15" xfId="4" applyNumberFormat="1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0" fillId="3" borderId="0" xfId="0" applyFill="1" applyAlignment="1">
      <alignment horizontal="center"/>
    </xf>
    <xf numFmtId="0" fontId="22" fillId="3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0" fillId="0" borderId="0" xfId="0" applyNumberFormat="1"/>
    <xf numFmtId="166" fontId="0" fillId="0" borderId="0" xfId="0" applyNumberFormat="1"/>
  </cellXfs>
  <cellStyles count="7">
    <cellStyle name="Cabeçalho Meteora" xfId="3" xr:uid="{43DBFFA1-791E-423B-B2A6-377CC2810274}"/>
    <cellStyle name="Ênfase4" xfId="1" builtinId="41" customBuiltin="1"/>
    <cellStyle name="Hiperlink" xfId="6" builtinId="8"/>
    <cellStyle name="Moeda" xfId="4" builtinId="4"/>
    <cellStyle name="Normal" xfId="0" builtinId="0"/>
    <cellStyle name="Porcentagem" xfId="5" builtinId="5"/>
    <cellStyle name="Título Meteora" xfId="2" xr:uid="{52F1EA3C-B23E-4AE6-AE73-27AD9F7C9021}"/>
  </cellStyles>
  <dxfs count="25">
    <dxf>
      <font>
        <color rgb="FF9C0006"/>
      </font>
      <fill>
        <patternFill>
          <bgColor rgb="FFFFC7CE"/>
        </patternFill>
      </fill>
    </dxf>
    <dxf>
      <alignment horizontal="center"/>
    </dxf>
    <dxf>
      <numFmt numFmtId="165" formatCode="_-[$R$-416]\ * #,##0.00_-;\-[$R$-416]\ * #,##0.00_-;_-[$R$-416]\ * &quot;-&quot;??_-;_-@_-"/>
    </dxf>
    <dxf>
      <font>
        <sz val="12"/>
      </font>
    </dxf>
    <dxf>
      <font>
        <sz val="12"/>
      </font>
    </dxf>
    <dxf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5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bgColor theme="1"/>
        </patternFill>
      </fill>
      <alignment horizontal="center" vertical="center" textRotation="0" wrapText="1" indent="0" justifyLastLine="0" shrinkToFit="0" readingOrder="0"/>
    </dxf>
    <dxf>
      <numFmt numFmtId="165" formatCode="_-[$R$-416]\ * #,##0.00_-;\-[$R$-416]\ * #,##0.00_-;_-[$R$-416]\ * &quot;-&quot;??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Montserrat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  <color rgb="FF9353FF"/>
      <color rgb="FFCCCCCC"/>
      <color rgb="FF4472C4"/>
      <color rgb="FFEE6471"/>
      <color rgb="FFF87F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3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29" Type="http://schemas.openxmlformats.org/officeDocument/2006/relationships/customXml" Target="../customXml/item7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3.xlsx]DN_Vendas!TBDN_Vendas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DN_Vendas!$B$3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DN_Vendas!$B$4:$B$12</c:f>
              <c:numCache>
                <c:formatCode>_-[$R$-416]\ * #,##0.00_-;\-[$R$-416]\ * #,##0.00_-;_-[$R$-416]\ * "-"??_-;_-@_-</c:formatCode>
                <c:ptCount val="8"/>
                <c:pt idx="0">
                  <c:v>1750.9</c:v>
                </c:pt>
                <c:pt idx="1">
                  <c:v>2974.9</c:v>
                </c:pt>
                <c:pt idx="2">
                  <c:v>3698.1</c:v>
                </c:pt>
                <c:pt idx="3">
                  <c:v>3651.0999999999995</c:v>
                </c:pt>
                <c:pt idx="4">
                  <c:v>2776.2999999999997</c:v>
                </c:pt>
                <c:pt idx="5">
                  <c:v>3477.7000000000007</c:v>
                </c:pt>
                <c:pt idx="6">
                  <c:v>8602.0999999999985</c:v>
                </c:pt>
                <c:pt idx="7">
                  <c:v>6373.7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E-4619-9CBF-37B66C96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14378288"/>
        <c:axId val="1573918080"/>
      </c:barChart>
      <c:lineChart>
        <c:grouping val="standard"/>
        <c:varyColors val="0"/>
        <c:ser>
          <c:idx val="1"/>
          <c:order val="1"/>
          <c:tx>
            <c:strRef>
              <c:f>DN_Vendas!$C$3</c:f>
              <c:strCache>
                <c:ptCount val="1"/>
                <c:pt idx="0">
                  <c:v>Soma de Qtd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DN_Vendas!$A$4:$A$12</c:f>
              <c:strCache>
                <c:ptCount val="8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</c:strCache>
            </c:strRef>
          </c:cat>
          <c:val>
            <c:numRef>
              <c:f>DN_Vendas!$C$4:$C$12</c:f>
              <c:numCache>
                <c:formatCode>General</c:formatCode>
                <c:ptCount val="8"/>
                <c:pt idx="0">
                  <c:v>14</c:v>
                </c:pt>
                <c:pt idx="1">
                  <c:v>15</c:v>
                </c:pt>
                <c:pt idx="2">
                  <c:v>26</c:v>
                </c:pt>
                <c:pt idx="3">
                  <c:v>28</c:v>
                </c:pt>
                <c:pt idx="4">
                  <c:v>17</c:v>
                </c:pt>
                <c:pt idx="5">
                  <c:v>41</c:v>
                </c:pt>
                <c:pt idx="6">
                  <c:v>53</c:v>
                </c:pt>
                <c:pt idx="7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56E-4619-9CBF-37B66C96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233952"/>
        <c:axId val="1573888320"/>
      </c:lineChart>
      <c:catAx>
        <c:axId val="61437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73918080"/>
        <c:crosses val="autoZero"/>
        <c:auto val="1"/>
        <c:lblAlgn val="ctr"/>
        <c:lblOffset val="100"/>
        <c:noMultiLvlLbl val="0"/>
      </c:catAx>
      <c:valAx>
        <c:axId val="157391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4378288"/>
        <c:crosses val="autoZero"/>
        <c:crossBetween val="between"/>
      </c:valAx>
      <c:valAx>
        <c:axId val="1573888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4233952"/>
        <c:crosses val="max"/>
        <c:crossBetween val="between"/>
      </c:valAx>
      <c:catAx>
        <c:axId val="1084233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738883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[Meteora Ecommerce - FINAL AULA 3.xlsx]DN_Vendedores!TBDN_Vendedores</c:name>
    <c:fmtId val="1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DN_Vendedores!$B$3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DN_Vendedores!$A$4:$A$9</c:f>
              <c:strCache>
                <c:ptCount val="5"/>
                <c:pt idx="0">
                  <c:v>Amanda</c:v>
                </c:pt>
                <c:pt idx="1">
                  <c:v>Bruno</c:v>
                </c:pt>
                <c:pt idx="2">
                  <c:v>Clara</c:v>
                </c:pt>
                <c:pt idx="3">
                  <c:v>João</c:v>
                </c:pt>
                <c:pt idx="4">
                  <c:v>Sarah</c:v>
                </c:pt>
              </c:strCache>
            </c:strRef>
          </c:cat>
          <c:val>
            <c:numRef>
              <c:f>DN_Vendedores!$B$4:$B$9</c:f>
              <c:numCache>
                <c:formatCode>_("R$"* #,##0.00_);_("R$"* \(#,##0.00\);_("R$"* "-"??_);_(@_)</c:formatCode>
                <c:ptCount val="5"/>
                <c:pt idx="0">
                  <c:v>6811.2</c:v>
                </c:pt>
                <c:pt idx="1">
                  <c:v>6552.6</c:v>
                </c:pt>
                <c:pt idx="2">
                  <c:v>3259.7000000000003</c:v>
                </c:pt>
                <c:pt idx="3">
                  <c:v>8601.5999999999985</c:v>
                </c:pt>
                <c:pt idx="4">
                  <c:v>8079.7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0C-435A-95D9-A3F66230A04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85402064"/>
        <c:axId val="1335399952"/>
      </c:barChart>
      <c:catAx>
        <c:axId val="1085402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5399952"/>
        <c:crosses val="autoZero"/>
        <c:auto val="1"/>
        <c:lblAlgn val="ctr"/>
        <c:lblOffset val="100"/>
        <c:noMultiLvlLbl val="0"/>
      </c:catAx>
      <c:valAx>
        <c:axId val="1335399952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8540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DN_Vendas!$J$3</c:f>
              <c:strCache>
                <c:ptCount val="1"/>
                <c:pt idx="0">
                  <c:v>Acessórios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EE0-4899-A71F-55A3C6FAF9E8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EE0-4899-A71F-55A3C6FAF9E8}"/>
              </c:ext>
            </c:extLst>
          </c:dPt>
          <c:val>
            <c:numRef>
              <c:f>DN_Vendas!$K$3:$L$3</c:f>
              <c:numCache>
                <c:formatCode>0%;\-0%;0%</c:formatCode>
                <c:ptCount val="2"/>
                <c:pt idx="0">
                  <c:v>0.15879092503182729</c:v>
                </c:pt>
                <c:pt idx="1">
                  <c:v>0.84120907496817265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E0-4899-A71F-55A3C6FAF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DN_Vendas!$J$5</c:f>
              <c:strCache>
                <c:ptCount val="1"/>
                <c:pt idx="0">
                  <c:v>Vestuário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869-4622-BF23-B762B64609D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869-4622-BF23-B762B64609D2}"/>
              </c:ext>
            </c:extLst>
          </c:dPt>
          <c:val>
            <c:numRef>
              <c:f>DN_Vendas!$K$5:$L$5</c:f>
              <c:numCache>
                <c:formatCode>0%;\-0%;0%</c:formatCode>
                <c:ptCount val="2"/>
                <c:pt idx="0">
                  <c:v>0.73285232158727887</c:v>
                </c:pt>
                <c:pt idx="1">
                  <c:v>0.26714767841272113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69-4622-BF23-B762B6460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DN_Vendas!$J$4</c:f>
              <c:strCache>
                <c:ptCount val="1"/>
                <c:pt idx="0">
                  <c:v>Calçado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70-4DCF-8FB8-6809B71AB1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70-4DCF-8FB8-6809B71AB181}"/>
              </c:ext>
            </c:extLst>
          </c:dPt>
          <c:val>
            <c:numRef>
              <c:f>DN_Vendas!$K$4:$L$4</c:f>
              <c:numCache>
                <c:formatCode>0%;\-0%;0%</c:formatCode>
                <c:ptCount val="2"/>
                <c:pt idx="0">
                  <c:v>0.10835675338089411</c:v>
                </c:pt>
                <c:pt idx="1">
                  <c:v>0.89164324661910588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70-4DCF-8FB8-6809B71AB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Produtos!A1"/><Relationship Id="rId2" Type="http://schemas.openxmlformats.org/officeDocument/2006/relationships/hyperlink" Target="#Vendas!A1"/><Relationship Id="rId1" Type="http://schemas.openxmlformats.org/officeDocument/2006/relationships/image" Target="../media/image1.png"/><Relationship Id="rId5" Type="http://schemas.openxmlformats.org/officeDocument/2006/relationships/hyperlink" Target="#Consultas!A1"/><Relationship Id="rId4" Type="http://schemas.openxmlformats.org/officeDocument/2006/relationships/hyperlink" Target="#Vendedor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Vendedores!A1"/><Relationship Id="rId4" Type="http://schemas.openxmlformats.org/officeDocument/2006/relationships/hyperlink" Target="#Vend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Consult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Vendas!A1"/><Relationship Id="rId2" Type="http://schemas.openxmlformats.org/officeDocument/2006/relationships/hyperlink" Target="#Menu!A1"/><Relationship Id="rId1" Type="http://schemas.openxmlformats.org/officeDocument/2006/relationships/image" Target="../media/image2.png"/><Relationship Id="rId5" Type="http://schemas.openxmlformats.org/officeDocument/2006/relationships/hyperlink" Target="#Produtos!A1"/><Relationship Id="rId4" Type="http://schemas.openxmlformats.org/officeDocument/2006/relationships/hyperlink" Target="#Vendedore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3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1</xdr:row>
      <xdr:rowOff>121920</xdr:rowOff>
    </xdr:from>
    <xdr:to>
      <xdr:col>9</xdr:col>
      <xdr:colOff>579120</xdr:colOff>
      <xdr:row>5</xdr:row>
      <xdr:rowOff>152409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3DE8B45-09AB-055B-1B63-2260FE5D1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0" y="304800"/>
          <a:ext cx="4998720" cy="762009"/>
        </a:xfrm>
        <a:prstGeom prst="rect">
          <a:avLst/>
        </a:prstGeom>
      </xdr:spPr>
    </xdr:pic>
    <xdr:clientData/>
  </xdr:twoCellAnchor>
  <xdr:twoCellAnchor>
    <xdr:from>
      <xdr:col>6</xdr:col>
      <xdr:colOff>206375</xdr:colOff>
      <xdr:row>7</xdr:row>
      <xdr:rowOff>177165</xdr:rowOff>
    </xdr:from>
    <xdr:to>
      <xdr:col>8</xdr:col>
      <xdr:colOff>347345</xdr:colOff>
      <xdr:row>10</xdr:row>
      <xdr:rowOff>146685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E9D6B59-05D9-B03E-33FF-654DC865E65A}"/>
            </a:ext>
          </a:extLst>
        </xdr:cNvPr>
        <xdr:cNvSpPr/>
      </xdr:nvSpPr>
      <xdr:spPr>
        <a:xfrm>
          <a:off x="3749675" y="1510665"/>
          <a:ext cx="132207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Vendas</a:t>
          </a:r>
        </a:p>
      </xdr:txBody>
    </xdr:sp>
    <xdr:clientData/>
  </xdr:twoCellAnchor>
  <xdr:twoCellAnchor>
    <xdr:from>
      <xdr:col>1</xdr:col>
      <xdr:colOff>43815</xdr:colOff>
      <xdr:row>7</xdr:row>
      <xdr:rowOff>177165</xdr:rowOff>
    </xdr:from>
    <xdr:to>
      <xdr:col>3</xdr:col>
      <xdr:colOff>203835</xdr:colOff>
      <xdr:row>10</xdr:row>
      <xdr:rowOff>146685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C8F6523-8DD6-8EA8-3868-7A382EBABA1C}"/>
            </a:ext>
          </a:extLst>
        </xdr:cNvPr>
        <xdr:cNvSpPr/>
      </xdr:nvSpPr>
      <xdr:spPr>
        <a:xfrm>
          <a:off x="634365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  <xdr:twoCellAnchor>
    <xdr:from>
      <xdr:col>3</xdr:col>
      <xdr:colOff>420370</xdr:colOff>
      <xdr:row>7</xdr:row>
      <xdr:rowOff>177165</xdr:rowOff>
    </xdr:from>
    <xdr:to>
      <xdr:col>5</xdr:col>
      <xdr:colOff>580390</xdr:colOff>
      <xdr:row>10</xdr:row>
      <xdr:rowOff>146685</xdr:rowOff>
    </xdr:to>
    <xdr:sp macro="" textlink="">
      <xdr:nvSpPr>
        <xdr:cNvPr id="9" name="Retângulo: Cantos Arredondados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55DBCBF-1552-7BEE-78FD-FBEFEF801194}"/>
            </a:ext>
          </a:extLst>
        </xdr:cNvPr>
        <xdr:cNvSpPr/>
      </xdr:nvSpPr>
      <xdr:spPr>
        <a:xfrm>
          <a:off x="219202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>
    <xdr:from>
      <xdr:col>8</xdr:col>
      <xdr:colOff>563880</xdr:colOff>
      <xdr:row>7</xdr:row>
      <xdr:rowOff>177165</xdr:rowOff>
    </xdr:from>
    <xdr:to>
      <xdr:col>11</xdr:col>
      <xdr:colOff>133350</xdr:colOff>
      <xdr:row>10</xdr:row>
      <xdr:rowOff>146685</xdr:rowOff>
    </xdr:to>
    <xdr:sp macro="" textlink="">
      <xdr:nvSpPr>
        <xdr:cNvPr id="11" name="Retângulo: Cantos Arredondados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1DF467C-2EA0-98A2-30B7-FDC407A177D5}"/>
            </a:ext>
          </a:extLst>
        </xdr:cNvPr>
        <xdr:cNvSpPr/>
      </xdr:nvSpPr>
      <xdr:spPr>
        <a:xfrm>
          <a:off x="5288280" y="1510665"/>
          <a:ext cx="1341120" cy="5410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400" b="1">
              <a:solidFill>
                <a:srgbClr val="DAFF01"/>
              </a:solidFill>
              <a:latin typeface="MuseoModerno" pitchFamily="2" charset="0"/>
              <a:ea typeface="+mn-ea"/>
              <a:cs typeface="+mn-cs"/>
            </a:rPr>
            <a:t>Consultas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86361</xdr:colOff>
      <xdr:row>0</xdr:row>
      <xdr:rowOff>76201</xdr:rowOff>
    </xdr:from>
    <xdr:to>
      <xdr:col>0</xdr:col>
      <xdr:colOff>472440</xdr:colOff>
      <xdr:row>0</xdr:row>
      <xdr:rowOff>462280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BD4DE5D6-A5B5-406D-9CE1-F58B167B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361" y="76201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1304924</xdr:colOff>
      <xdr:row>0</xdr:row>
      <xdr:rowOff>100014</xdr:rowOff>
    </xdr:from>
    <xdr:to>
      <xdr:col>7</xdr:col>
      <xdr:colOff>464819</xdr:colOff>
      <xdr:row>0</xdr:row>
      <xdr:rowOff>414339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9A16521-3CF2-4B53-B0C2-257D770BDFBA}"/>
            </a:ext>
          </a:extLst>
        </xdr:cNvPr>
        <xdr:cNvSpPr/>
      </xdr:nvSpPr>
      <xdr:spPr>
        <a:xfrm>
          <a:off x="7553324" y="100014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5</xdr:col>
      <xdr:colOff>533400</xdr:colOff>
      <xdr:row>0</xdr:row>
      <xdr:rowOff>100014</xdr:rowOff>
    </xdr:from>
    <xdr:to>
      <xdr:col>6</xdr:col>
      <xdr:colOff>636270</xdr:colOff>
      <xdr:row>0</xdr:row>
      <xdr:rowOff>414339</xdr:rowOff>
    </xdr:to>
    <xdr:sp macro="" textlink="">
      <xdr:nvSpPr>
        <xdr:cNvPr id="3" name="Retângulo: Cantos Arredondados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714EE7B-96E6-4187-9F93-B47D5044F002}"/>
            </a:ext>
          </a:extLst>
        </xdr:cNvPr>
        <xdr:cNvSpPr/>
      </xdr:nvSpPr>
      <xdr:spPr>
        <a:xfrm>
          <a:off x="5905500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4</xdr:col>
      <xdr:colOff>604838</xdr:colOff>
      <xdr:row>0</xdr:row>
      <xdr:rowOff>100014</xdr:rowOff>
    </xdr:from>
    <xdr:to>
      <xdr:col>5</xdr:col>
      <xdr:colOff>441008</xdr:colOff>
      <xdr:row>0</xdr:row>
      <xdr:rowOff>414339</xdr:rowOff>
    </xdr:to>
    <xdr:sp macro="" textlink="">
      <xdr:nvSpPr>
        <xdr:cNvPr id="4" name="Retângulo: Cantos Arredondados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DAC1AAC-274C-4CCA-A247-AA03B11D181B}"/>
            </a:ext>
          </a:extLst>
        </xdr:cNvPr>
        <xdr:cNvSpPr/>
      </xdr:nvSpPr>
      <xdr:spPr>
        <a:xfrm>
          <a:off x="4833938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3</xdr:col>
      <xdr:colOff>466725</xdr:colOff>
      <xdr:row>0</xdr:row>
      <xdr:rowOff>100014</xdr:rowOff>
    </xdr:from>
    <xdr:to>
      <xdr:col>4</xdr:col>
      <xdr:colOff>512445</xdr:colOff>
      <xdr:row>0</xdr:row>
      <xdr:rowOff>414339</xdr:rowOff>
    </xdr:to>
    <xdr:sp macro="" textlink="">
      <xdr:nvSpPr>
        <xdr:cNvPr id="5" name="Retângulo: Cantos Arredondados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2098C0-66DE-4C93-8742-A1DDC837229B}"/>
            </a:ext>
          </a:extLst>
        </xdr:cNvPr>
        <xdr:cNvSpPr/>
      </xdr:nvSpPr>
      <xdr:spPr>
        <a:xfrm>
          <a:off x="3762375" y="100014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281940</xdr:colOff>
      <xdr:row>0</xdr:row>
      <xdr:rowOff>76200</xdr:rowOff>
    </xdr:from>
    <xdr:to>
      <xdr:col>0</xdr:col>
      <xdr:colOff>668019</xdr:colOff>
      <xdr:row>0</xdr:row>
      <xdr:rowOff>462279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4363A8-ECD7-4ED2-8B5E-4B8412B6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940" y="7620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6</xdr:col>
      <xdr:colOff>466724</xdr:colOff>
      <xdr:row>0</xdr:row>
      <xdr:rowOff>85725</xdr:rowOff>
    </xdr:from>
    <xdr:to>
      <xdr:col>7</xdr:col>
      <xdr:colOff>541019</xdr:colOff>
      <xdr:row>0</xdr:row>
      <xdr:rowOff>400050</xdr:rowOff>
    </xdr:to>
    <xdr:sp macro="" textlink="">
      <xdr:nvSpPr>
        <xdr:cNvPr id="3" name="Retângulo: Cantos Arredondado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6F0C8CE-E1DD-46B0-9EC1-0DB234C25F94}"/>
            </a:ext>
          </a:extLst>
        </xdr:cNvPr>
        <xdr:cNvSpPr/>
      </xdr:nvSpPr>
      <xdr:spPr>
        <a:xfrm>
          <a:off x="769619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4</xdr:col>
      <xdr:colOff>38100</xdr:colOff>
      <xdr:row>0</xdr:row>
      <xdr:rowOff>85725</xdr:rowOff>
    </xdr:from>
    <xdr:to>
      <xdr:col>5</xdr:col>
      <xdr:colOff>407670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2D492B7-9A40-45DF-8DD9-FF4B8AC4B805}"/>
            </a:ext>
          </a:extLst>
        </xdr:cNvPr>
        <xdr:cNvSpPr/>
      </xdr:nvSpPr>
      <xdr:spPr>
        <a:xfrm>
          <a:off x="604837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3</xdr:col>
      <xdr:colOff>442913</xdr:colOff>
      <xdr:row>0</xdr:row>
      <xdr:rowOff>85725</xdr:rowOff>
    </xdr:from>
    <xdr:to>
      <xdr:col>3</xdr:col>
      <xdr:colOff>1422083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1189A0F-6039-4D6D-9A86-B4FB82EB1AE6}"/>
            </a:ext>
          </a:extLst>
        </xdr:cNvPr>
        <xdr:cNvSpPr/>
      </xdr:nvSpPr>
      <xdr:spPr>
        <a:xfrm>
          <a:off x="497681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1085850</xdr:colOff>
      <xdr:row>0</xdr:row>
      <xdr:rowOff>85725</xdr:rowOff>
    </xdr:from>
    <xdr:to>
      <xdr:col>3</xdr:col>
      <xdr:colOff>350520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510B14D-B133-4912-957D-08B56E453DEC}"/>
            </a:ext>
          </a:extLst>
        </xdr:cNvPr>
        <xdr:cNvSpPr/>
      </xdr:nvSpPr>
      <xdr:spPr>
        <a:xfrm>
          <a:off x="390525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449580</xdr:colOff>
      <xdr:row>0</xdr:row>
      <xdr:rowOff>66675</xdr:rowOff>
    </xdr:from>
    <xdr:to>
      <xdr:col>3</xdr:col>
      <xdr:colOff>64134</xdr:colOff>
      <xdr:row>0</xdr:row>
      <xdr:rowOff>452754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412354E-AD1A-4804-A470-15E2243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" y="66675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9</xdr:col>
      <xdr:colOff>123824</xdr:colOff>
      <xdr:row>0</xdr:row>
      <xdr:rowOff>85725</xdr:rowOff>
    </xdr:from>
    <xdr:to>
      <xdr:col>9</xdr:col>
      <xdr:colOff>812482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B701B76-473A-4A55-AF0E-ECBD9BBE384C}"/>
            </a:ext>
          </a:extLst>
        </xdr:cNvPr>
        <xdr:cNvSpPr/>
      </xdr:nvSpPr>
      <xdr:spPr>
        <a:xfrm>
          <a:off x="77152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7</xdr:col>
      <xdr:colOff>609600</xdr:colOff>
      <xdr:row>0</xdr:row>
      <xdr:rowOff>85725</xdr:rowOff>
    </xdr:from>
    <xdr:to>
      <xdr:col>8</xdr:col>
      <xdr:colOff>521970</xdr:colOff>
      <xdr:row>0</xdr:row>
      <xdr:rowOff>400050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8C5575B6-61D4-49F3-9180-2CA2D567325C}"/>
            </a:ext>
          </a:extLst>
        </xdr:cNvPr>
        <xdr:cNvSpPr/>
      </xdr:nvSpPr>
      <xdr:spPr>
        <a:xfrm>
          <a:off x="60674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Consultas</a:t>
          </a:r>
        </a:p>
      </xdr:txBody>
    </xdr:sp>
    <xdr:clientData/>
  </xdr:twoCellAnchor>
  <xdr:twoCellAnchor editAs="absolute">
    <xdr:from>
      <xdr:col>6</xdr:col>
      <xdr:colOff>412751</xdr:colOff>
      <xdr:row>0</xdr:row>
      <xdr:rowOff>85725</xdr:rowOff>
    </xdr:from>
    <xdr:to>
      <xdr:col>7</xdr:col>
      <xdr:colOff>517208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F03579C-CAF6-4B7E-BEF7-4259D9774AFB}"/>
            </a:ext>
          </a:extLst>
        </xdr:cNvPr>
        <xdr:cNvSpPr/>
      </xdr:nvSpPr>
      <xdr:spPr>
        <a:xfrm>
          <a:off x="49958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5</xdr:col>
      <xdr:colOff>587375</xdr:colOff>
      <xdr:row>0</xdr:row>
      <xdr:rowOff>85725</xdr:rowOff>
    </xdr:from>
    <xdr:to>
      <xdr:col>6</xdr:col>
      <xdr:colOff>320358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2EDB1BC-9302-487C-8922-6F0622D6EF3B}"/>
            </a:ext>
          </a:extLst>
        </xdr:cNvPr>
        <xdr:cNvSpPr/>
      </xdr:nvSpPr>
      <xdr:spPr>
        <a:xfrm>
          <a:off x="39243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68580</xdr:rowOff>
    </xdr:from>
    <xdr:to>
      <xdr:col>0</xdr:col>
      <xdr:colOff>492759</xdr:colOff>
      <xdr:row>0</xdr:row>
      <xdr:rowOff>454659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456271F-9F53-4B55-9E8A-E9E2FC35B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8580"/>
          <a:ext cx="386079" cy="386079"/>
        </a:xfrm>
        <a:prstGeom prst="rect">
          <a:avLst/>
        </a:prstGeom>
      </xdr:spPr>
    </xdr:pic>
    <xdr:clientData/>
  </xdr:twoCellAnchor>
  <xdr:twoCellAnchor editAs="absolute">
    <xdr:from>
      <xdr:col>4</xdr:col>
      <xdr:colOff>1019174</xdr:colOff>
      <xdr:row>0</xdr:row>
      <xdr:rowOff>85725</xdr:rowOff>
    </xdr:from>
    <xdr:to>
      <xdr:col>5</xdr:col>
      <xdr:colOff>245744</xdr:colOff>
      <xdr:row>0</xdr:row>
      <xdr:rowOff>400050</xdr:rowOff>
    </xdr:to>
    <xdr:sp macro="" textlink="">
      <xdr:nvSpPr>
        <xdr:cNvPr id="2" name="Retângulo: Cantos Arredondados 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9DEB8D7-0FEB-4507-A50B-05B81C09950A}"/>
            </a:ext>
          </a:extLst>
        </xdr:cNvPr>
        <xdr:cNvSpPr/>
      </xdr:nvSpPr>
      <xdr:spPr>
        <a:xfrm>
          <a:off x="6115049" y="85725"/>
          <a:ext cx="683895" cy="314325"/>
        </a:xfrm>
        <a:prstGeom prst="roundRect">
          <a:avLst/>
        </a:prstGeom>
        <a:solidFill>
          <a:srgbClr val="9353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MuseoModerno" pitchFamily="2" charset="0"/>
            </a:rPr>
            <a:t>Voltar</a:t>
          </a:r>
        </a:p>
      </xdr:txBody>
    </xdr:sp>
    <xdr:clientData/>
  </xdr:twoCellAnchor>
  <xdr:twoCellAnchor editAs="absolute">
    <xdr:from>
      <xdr:col>3</xdr:col>
      <xdr:colOff>152400</xdr:colOff>
      <xdr:row>0</xdr:row>
      <xdr:rowOff>85725</xdr:rowOff>
    </xdr:from>
    <xdr:to>
      <xdr:col>4</xdr:col>
      <xdr:colOff>350520</xdr:colOff>
      <xdr:row>0</xdr:row>
      <xdr:rowOff>400050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E16AD2F-D430-4E96-8D94-F654A42B72BD}"/>
            </a:ext>
          </a:extLst>
        </xdr:cNvPr>
        <xdr:cNvSpPr/>
      </xdr:nvSpPr>
      <xdr:spPr>
        <a:xfrm>
          <a:off x="4467225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Vendas</a:t>
          </a:r>
        </a:p>
      </xdr:txBody>
    </xdr:sp>
    <xdr:clientData/>
  </xdr:twoCellAnchor>
  <xdr:twoCellAnchor editAs="absolute">
    <xdr:from>
      <xdr:col>2</xdr:col>
      <xdr:colOff>1347788</xdr:colOff>
      <xdr:row>0</xdr:row>
      <xdr:rowOff>85725</xdr:rowOff>
    </xdr:from>
    <xdr:to>
      <xdr:col>3</xdr:col>
      <xdr:colOff>60008</xdr:colOff>
      <xdr:row>0</xdr:row>
      <xdr:rowOff>400050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F5C5270-F703-4959-8D9F-71136CD13561}"/>
            </a:ext>
          </a:extLst>
        </xdr:cNvPr>
        <xdr:cNvSpPr/>
      </xdr:nvSpPr>
      <xdr:spPr>
        <a:xfrm>
          <a:off x="3395663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Vendedores</a:t>
          </a:r>
        </a:p>
      </xdr:txBody>
    </xdr:sp>
    <xdr:clientData/>
  </xdr:twoCellAnchor>
  <xdr:twoCellAnchor editAs="absolute">
    <xdr:from>
      <xdr:col>2</xdr:col>
      <xdr:colOff>276225</xdr:colOff>
      <xdr:row>0</xdr:row>
      <xdr:rowOff>85725</xdr:rowOff>
    </xdr:from>
    <xdr:to>
      <xdr:col>2</xdr:col>
      <xdr:colOff>1255395</xdr:colOff>
      <xdr:row>0</xdr:row>
      <xdr:rowOff>400050</xdr:rowOff>
    </xdr:to>
    <xdr:sp macro="" textlink="">
      <xdr:nvSpPr>
        <xdr:cNvPr id="7" name="Retângulo: Cantos Arredondado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4F05AB9-4EF5-485F-A10E-4B5B41E0590A}"/>
            </a:ext>
          </a:extLst>
        </xdr:cNvPr>
        <xdr:cNvSpPr/>
      </xdr:nvSpPr>
      <xdr:spPr>
        <a:xfrm>
          <a:off x="2324100" y="85725"/>
          <a:ext cx="979170" cy="3143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 b="0">
              <a:solidFill>
                <a:srgbClr val="DAFF01"/>
              </a:solidFill>
              <a:latin typeface="MuseoModerno" pitchFamily="2" charset="0"/>
            </a:rPr>
            <a:t>Produtos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200024</xdr:colOff>
      <xdr:row>0</xdr:row>
      <xdr:rowOff>104774</xdr:rowOff>
    </xdr:from>
    <xdr:to>
      <xdr:col>2</xdr:col>
      <xdr:colOff>752475</xdr:colOff>
      <xdr:row>1</xdr:row>
      <xdr:rowOff>866774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ategoria 1">
              <a:extLst>
                <a:ext uri="{FF2B5EF4-FFF2-40B4-BE49-F238E27FC236}">
                  <a16:creationId xmlns:a16="http://schemas.microsoft.com/office/drawing/2014/main" id="{8B3096F1-0C3D-DBCC-2744-8B036B5C97C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0024" y="104774"/>
              <a:ext cx="3724276" cy="962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0</xdr:row>
      <xdr:rowOff>76200</xdr:rowOff>
    </xdr:from>
    <xdr:to>
      <xdr:col>0</xdr:col>
      <xdr:colOff>477519</xdr:colOff>
      <xdr:row>0</xdr:row>
      <xdr:rowOff>462279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4EA7978-4266-437F-879D-423B85D16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76200"/>
          <a:ext cx="386079" cy="38607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</xdr:rowOff>
    </xdr:from>
    <xdr:to>
      <xdr:col>22</xdr:col>
      <xdr:colOff>9525</xdr:colOff>
      <xdr:row>5</xdr:row>
      <xdr:rowOff>49990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A577B8C-A23D-DB82-E232-44F29160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7651"/>
          <a:ext cx="2943225" cy="421464"/>
        </a:xfrm>
        <a:prstGeom prst="rect">
          <a:avLst/>
        </a:prstGeom>
      </xdr:spPr>
    </xdr:pic>
    <xdr:clientData/>
  </xdr:twoCellAnchor>
  <xdr:twoCellAnchor>
    <xdr:from>
      <xdr:col>2</xdr:col>
      <xdr:colOff>19050</xdr:colOff>
      <xdr:row>10</xdr:row>
      <xdr:rowOff>0</xdr:rowOff>
    </xdr:from>
    <xdr:to>
      <xdr:col>79</xdr:col>
      <xdr:colOff>104775</xdr:colOff>
      <xdr:row>23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D1C6A12-5F59-E575-3EE8-D2DBB7A6C9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23812</xdr:colOff>
      <xdr:row>27</xdr:row>
      <xdr:rowOff>9525</xdr:rowOff>
    </xdr:from>
    <xdr:to>
      <xdr:col>79</xdr:col>
      <xdr:colOff>114300</xdr:colOff>
      <xdr:row>45</xdr:row>
      <xdr:rowOff>104775</xdr:rowOff>
    </xdr:to>
    <xdr:graphicFrame macro="">
      <xdr:nvGraphicFramePr>
        <xdr:cNvPr id="4" name="Gráfico 1">
          <a:extLst>
            <a:ext uri="{FF2B5EF4-FFF2-40B4-BE49-F238E27FC236}">
              <a16:creationId xmlns:a16="http://schemas.microsoft.com/office/drawing/2014/main" id="{2135EDE1-0FB3-2E2B-3908-26C8962A5F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0</xdr:colOff>
      <xdr:row>27</xdr:row>
      <xdr:rowOff>14287</xdr:rowOff>
    </xdr:from>
    <xdr:to>
      <xdr:col>14</xdr:col>
      <xdr:colOff>85725</xdr:colOff>
      <xdr:row>45</xdr:row>
      <xdr:rowOff>109537</xdr:rowOff>
    </xdr:to>
    <xdr:graphicFrame macro="">
      <xdr:nvGraphicFramePr>
        <xdr:cNvPr id="5" name="Gráfico 1">
          <a:extLst>
            <a:ext uri="{FF2B5EF4-FFF2-40B4-BE49-F238E27FC236}">
              <a16:creationId xmlns:a16="http://schemas.microsoft.com/office/drawing/2014/main" id="{D9B873A4-7580-810F-D3F1-3EE4400AD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47625</xdr:colOff>
      <xdr:row>27</xdr:row>
      <xdr:rowOff>0</xdr:rowOff>
    </xdr:from>
    <xdr:to>
      <xdr:col>27</xdr:col>
      <xdr:colOff>66675</xdr:colOff>
      <xdr:row>45</xdr:row>
      <xdr:rowOff>103950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67DA51DC-4AF0-7EAA-062B-9440920BD3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27</xdr:col>
      <xdr:colOff>47625</xdr:colOff>
      <xdr:row>26</xdr:row>
      <xdr:rowOff>123824</xdr:rowOff>
    </xdr:from>
    <xdr:to>
      <xdr:col>40</xdr:col>
      <xdr:colOff>0</xdr:colOff>
      <xdr:row>45</xdr:row>
      <xdr:rowOff>95249</xdr:rowOff>
    </xdr:to>
    <xdr:graphicFrame macro="">
      <xdr:nvGraphicFramePr>
        <xdr:cNvPr id="7" name="Gráfico 2">
          <a:extLst>
            <a:ext uri="{FF2B5EF4-FFF2-40B4-BE49-F238E27FC236}">
              <a16:creationId xmlns:a16="http://schemas.microsoft.com/office/drawing/2014/main" id="{46D293AE-D25A-CA4D-06D9-F6C6BE3DCF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0.26554</cdr:x>
      <cdr:y>0.39139</cdr:y>
    </cdr:from>
    <cdr:to>
      <cdr:x>0.80791</cdr:x>
      <cdr:y>0.78484</cdr:y>
    </cdr:to>
    <cdr:sp macro="" textlink="DN_Vendas!$K$3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8B075E10-C30D-99C5-C8AB-16B9B5411C85}"/>
            </a:ext>
          </a:extLst>
        </cdr:cNvPr>
        <cdr:cNvSpPr txBox="1"/>
      </cdr:nvSpPr>
      <cdr:spPr>
        <a:xfrm xmlns:a="http://schemas.openxmlformats.org/drawingml/2006/main">
          <a:off x="447675" y="909638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fld id="{76731901-046A-444E-9057-BAFC2D385C70}" type="TxLink">
            <a:rPr lang="en-US" sz="28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t>16%</a:t>
          </a:fld>
          <a:endParaRPr lang="pt-BR" sz="2800" b="1" kern="1200"/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0.27717</cdr:x>
      <cdr:y>0.37247</cdr:y>
    </cdr:from>
    <cdr:to>
      <cdr:x>0.79891</cdr:x>
      <cdr:y>0.76113</cdr:y>
    </cdr:to>
    <cdr:sp macro="" textlink="DN_Vendas!$K$5">
      <cdr:nvSpPr>
        <cdr:cNvPr id="4" name="CaixaDeTexto 3">
          <a:extLst xmlns:a="http://schemas.openxmlformats.org/drawingml/2006/main">
            <a:ext uri="{FF2B5EF4-FFF2-40B4-BE49-F238E27FC236}">
              <a16:creationId xmlns:a16="http://schemas.microsoft.com/office/drawing/2014/main" id="{EBCA3A46-3878-6918-3483-52ED60E265FA}"/>
            </a:ext>
          </a:extLst>
        </cdr:cNvPr>
        <cdr:cNvSpPr txBox="1"/>
      </cdr:nvSpPr>
      <cdr:spPr>
        <a:xfrm xmlns:a="http://schemas.openxmlformats.org/drawingml/2006/main">
          <a:off x="485775" y="87630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marL="0" indent="0"/>
          <a:fld id="{75232824-FB85-427E-8FF9-4ABE1A0EF4F7}" type="TxLink">
            <a:rPr lang="en-US" sz="28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73%</a:t>
          </a:fld>
          <a:endParaRPr lang="pt-BR" sz="2800" b="1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0.28814</cdr:x>
      <cdr:y>0.35246</cdr:y>
    </cdr:from>
    <cdr:to>
      <cdr:x>0.83051</cdr:x>
      <cdr:y>0.7459</cdr:y>
    </cdr:to>
    <cdr:sp macro="" textlink="DN_Vendas!$K$4">
      <cdr:nvSpPr>
        <cdr:cNvPr id="2" name="CaixaDeTexto 1">
          <a:extLst xmlns:a="http://schemas.openxmlformats.org/drawingml/2006/main">
            <a:ext uri="{FF2B5EF4-FFF2-40B4-BE49-F238E27FC236}">
              <a16:creationId xmlns:a16="http://schemas.microsoft.com/office/drawing/2014/main" id="{77E5D0EF-EAB7-729B-FBAF-28B6E8DEC288}"/>
            </a:ext>
          </a:extLst>
        </cdr:cNvPr>
        <cdr:cNvSpPr txBox="1"/>
      </cdr:nvSpPr>
      <cdr:spPr>
        <a:xfrm xmlns:a="http://schemas.openxmlformats.org/drawingml/2006/main">
          <a:off x="485775" y="819151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 anchor="ctr"/>
        <a:lstStyle xmlns:a="http://schemas.openxmlformats.org/drawingml/2006/main"/>
        <a:p xmlns:a="http://schemas.openxmlformats.org/drawingml/2006/main">
          <a:pPr marL="0" indent="0"/>
          <a:fld id="{8C836DB9-E509-4798-A5A2-591B4F75CE9C}" type="TxLink">
            <a:rPr lang="en-US" sz="2800" b="1" i="0" u="none" strike="noStrike" kern="1200">
              <a:solidFill>
                <a:srgbClr val="000000"/>
              </a:solidFill>
              <a:latin typeface="Calibri"/>
              <a:ea typeface="Calibri"/>
              <a:cs typeface="Calibri"/>
            </a:rPr>
            <a:pPr marL="0" indent="0"/>
            <a:t>11%</a:t>
          </a:fld>
          <a:endParaRPr lang="pt-BR" sz="2800" b="1" i="0" u="none" strike="noStrike" kern="1200">
            <a:solidFill>
              <a:srgbClr val="000000"/>
            </a:solidFill>
            <a:latin typeface="Calibri"/>
            <a:ea typeface="Calibri"/>
            <a:cs typeface="Calibri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Resolve Testes" refreshedDate="45168.766250231478" createdVersion="8" refreshedVersion="8" minRefreshableVersion="3" recordCount="60" xr:uid="{7AB96658-ECC6-4382-87EF-AC22B432EE5C}">
  <cacheSource type="worksheet">
    <worksheetSource name="TB_Produtos"/>
  </cacheSource>
  <cacheFields count="6">
    <cacheField name="Código" numFmtId="0">
      <sharedItems/>
    </cacheField>
    <cacheField name="Produtos" numFmtId="0">
      <sharedItems count="26">
        <s v="Bermuda"/>
        <s v="Bolsa coringa"/>
        <s v="Bolsa de couro"/>
        <s v="Boné"/>
        <s v="Calça jeans"/>
        <s v="Calça legging"/>
        <s v="Camiseta Estampada"/>
        <s v="Camiseta Lisa"/>
        <s v="Camiseta Lisa "/>
        <s v="Cinto"/>
        <s v="Jaqueta couro"/>
        <s v="Jaqueta jeans"/>
        <s v="Óculos quadrado"/>
        <s v="Óculos redondo"/>
        <s v="Tênis Atitas"/>
        <s v="Tênis Chunky"/>
        <s v="Vestido curto"/>
        <s v="Vestido longo"/>
        <s v="Camiseta Conforto"/>
        <s v="Vestido Floral"/>
        <s v="Jaqueta de Couro"/>
        <s v="Camiseta Listrada"/>
        <s v="Saia Plissada"/>
        <s v="Sandália Rasteira"/>
        <s v="Calça Alfaiataria"/>
        <s v="Produto Novo" u="1"/>
      </sharedItems>
    </cacheField>
    <cacheField name="Tamanho" numFmtId="0">
      <sharedItems containsMixedTypes="1" containsNumber="1" containsInteger="1" minValue="35" maxValue="38"/>
    </cacheField>
    <cacheField name="Categoria" numFmtId="0">
      <sharedItems count="4">
        <s v="Vestuário"/>
        <s v="Acessórios"/>
        <s v="Calçado"/>
        <s v="Categoria Nova" u="1"/>
      </sharedItems>
    </cacheField>
    <cacheField name="Estoque" numFmtId="0">
      <sharedItems containsSemiMixedTypes="0" containsString="0" containsNumber="1" containsInteger="1" minValue="0" maxValue="50"/>
    </cacheField>
    <cacheField name="Preço Unitário" numFmtId="0">
      <sharedItems containsSemiMixedTypes="0" containsString="0" containsNumber="1" minValue="25.9" maxValue="349.9"/>
    </cacheField>
  </cacheFields>
  <extLst>
    <ext xmlns:x14="http://schemas.microsoft.com/office/spreadsheetml/2009/9/main" uri="{725AE2AE-9491-48be-B2B4-4EB974FC3084}">
      <x14:pivotCacheDefinition pivotCacheId="18884865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888644560182" backgroundQuery="1" createdVersion="8" refreshedVersion="8" minRefreshableVersion="3" recordCount="0" supportSubquery="1" supportAdvancedDrill="1" xr:uid="{0E9C5593-B01E-4C8F-AFAD-4007B27D76B7}">
  <cacheSource type="external" connectionId="1"/>
  <cacheFields count="4">
    <cacheField name="[TB_Vendas].[Data (Mês)].[Data (Mês)]" caption="Data (Mês)" numFmtId="0" hierarchy="23" level="1">
      <sharedItems count="8">
        <s v="jan"/>
        <s v="fev"/>
        <s v="mar"/>
        <s v="abr"/>
        <s v="mai"/>
        <s v="jun"/>
        <s v="jul"/>
        <s v="ago"/>
      </sharedItems>
    </cacheField>
    <cacheField name="[Measures].[Soma de Qtd]" caption="Soma de Qtd" numFmtId="0" hierarchy="25" level="32767"/>
    <cacheField name="[Measures].[Soma de Total]" caption="Soma de Total" numFmtId="0" hierarchy="26" level="32767"/>
    <cacheField name="[TB_Vendas].[Data].[Data]" caption="Data" numFmtId="0" hierarchy="11" level="1">
      <sharedItems containsSemiMixedTypes="0" containsNonDate="0" containsString="0"/>
    </cacheField>
  </cacheFields>
  <cacheHierarchies count="37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2" memberValueDatatype="7" unbalanced="0">
      <fieldsUsage count="2">
        <fieldUsage x="-1"/>
        <fieldUsage x="3"/>
      </fieldsUsage>
    </cacheHierarchy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Soma de Qtd]" caption="Soma de Qtd" measure="1" displayFolder="" measureGroup="TB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</dimensions>
  <measureGroups count="3">
    <measureGroup name="Intervalo" caption="Intervalo"/>
    <measureGroup name="TB_Produtos" caption="TB_Produtos"/>
    <measureGroup name="TB_Vendas" caption="TB_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888645833336" backgroundQuery="1" createdVersion="8" refreshedVersion="8" minRefreshableVersion="3" recordCount="0" supportSubquery="1" supportAdvancedDrill="1" xr:uid="{43500E51-CEBE-48B0-881F-FF3439F00E5D}">
  <cacheSource type="external" connectionId="1"/>
  <cacheFields count="2">
    <cacheField name="[Intervalo].[Vendedor].[Vendedor]" caption="Vendedor" numFmtId="0" hierarchy="1" level="1">
      <sharedItems count="5">
        <s v="Amanda"/>
        <s v="Bruno"/>
        <s v="Clara"/>
        <s v="João"/>
        <s v="Sarah"/>
      </sharedItems>
    </cacheField>
    <cacheField name="[Measures].[Soma de Total]" caption="Soma de Total" numFmtId="0" hierarchy="26" level="32767"/>
  </cacheFields>
  <cacheHierarchies count="37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2" memberValueDatatype="130" unbalanced="0">
      <fieldsUsage count="2">
        <fieldUsage x="-1"/>
        <fieldUsage x="0"/>
      </fieldsUsage>
    </cacheHierarchy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0" memberValueDatatype="130" unbalanced="0"/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/>
    <cacheHierarchy uniqueName="[Measures].[% Restante]" caption="% Restante" measure="1" displayFolder="" measureGroup="TB_Vendas" count="0"/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</dimensions>
  <measureGroups count="3">
    <measureGroup name="Intervalo" caption="Intervalo"/>
    <measureGroup name="TB_Produtos" caption="TB_Produtos"/>
    <measureGroup name="TB_Vendas" caption="TB_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ierry-G15" refreshedDate="46179.889150462965" backgroundQuery="1" createdVersion="8" refreshedVersion="8" minRefreshableVersion="3" recordCount="0" supportSubquery="1" supportAdvancedDrill="1" xr:uid="{DBA1C068-8607-4250-91F7-1684CCBE0B23}">
  <cacheSource type="external" connectionId="1"/>
  <cacheFields count="4">
    <cacheField name="[TB_Vendas].[Categoria].[Categoria]" caption="Categoria" numFmtId="0" hierarchy="13" level="1">
      <sharedItems count="3">
        <s v="Acessórios"/>
        <s v="Calçado"/>
        <s v="Vestuário"/>
      </sharedItems>
    </cacheField>
    <cacheField name="[Measures].[% Categoria]" caption="% Categoria" numFmtId="0" hierarchy="31" level="32767"/>
    <cacheField name="[Measures].[% Restante]" caption="% Restante" numFmtId="0" hierarchy="32" level="32767"/>
    <cacheField name="[Measures].[Soma de Total]" caption="Soma de Total" numFmtId="0" hierarchy="26" level="32767"/>
  </cacheFields>
  <cacheHierarchies count="37">
    <cacheHierarchy uniqueName="[Intervalo].[Código]" caption="Código" attribute="1" defaultMemberUniqueName="[Intervalo].[Código].[All]" allUniqueName="[Intervalo].[Código].[All]" dimensionUniqueName="[Intervalo]" displayFolder="" count="0" memberValueDatatype="130" unbalanced="0"/>
    <cacheHierarchy uniqueName="[Intervalo].[Vendedor]" caption="Vendedor" attribute="1" defaultMemberUniqueName="[Intervalo].[Vendedor].[All]" allUniqueName="[Intervalo].[Vendedor].[All]" dimensionUniqueName="[Intervalo]" displayFolder="" count="0" memberValueDatatype="130" unbalanced="0"/>
    <cacheHierarchy uniqueName="[Intervalo].[Cidade]" caption="Cidade" attribute="1" defaultMemberUniqueName="[Intervalo].[Cidade].[All]" allUniqueName="[Intervalo].[Cidade].[All]" dimensionUniqueName="[Intervalo]" displayFolder="" count="0" memberValueDatatype="130" unbalanced="0"/>
    <cacheHierarchy uniqueName="[Intervalo].[Desc. Máximo]" caption="Desc. Máximo" attribute="1" defaultMemberUniqueName="[Intervalo].[Desc. Máximo].[All]" allUniqueName="[Intervalo].[Desc. Máximo].[All]" dimensionUniqueName="[Intervalo]" displayFolder="" count="0" memberValueDatatype="5" unbalanced="0"/>
    <cacheHierarchy uniqueName="[TB_Produtos].[Código]" caption="Código" attribute="1" defaultMemberUniqueName="[TB_Produtos].[Código].[All]" allUniqueName="[TB_Produtos].[Código].[All]" dimensionUniqueName="[TB_Produtos]" displayFolder="" count="0" memberValueDatatype="130" unbalanced="0"/>
    <cacheHierarchy uniqueName="[TB_Produtos].[Produtos]" caption="Produtos" attribute="1" defaultMemberUniqueName="[TB_Produtos].[Produtos].[All]" allUniqueName="[TB_Produtos].[Produtos].[All]" dimensionUniqueName="[TB_Produtos]" displayFolder="" count="0" memberValueDatatype="130" unbalanced="0"/>
    <cacheHierarchy uniqueName="[TB_Produtos].[Tamanho]" caption="Tamanho" attribute="1" defaultMemberUniqueName="[TB_Produtos].[Tamanho].[All]" allUniqueName="[TB_Produtos].[Tamanho].[All]" dimensionUniqueName="[TB_Produtos]" displayFolder="" count="0" memberValueDatatype="130" unbalanced="0"/>
    <cacheHierarchy uniqueName="[TB_Produtos].[Categoria]" caption="Categoria" attribute="1" defaultMemberUniqueName="[TB_Produtos].[Categoria].[All]" allUniqueName="[TB_Produtos].[Categoria].[All]" dimensionUniqueName="[TB_Produtos]" displayFolder="" count="0" memberValueDatatype="130" unbalanced="0"/>
    <cacheHierarchy uniqueName="[TB_Produtos].[Estoque]" caption="Estoque" attribute="1" defaultMemberUniqueName="[TB_Produtos].[Estoque].[All]" allUniqueName="[TB_Produtos].[Estoque].[All]" dimensionUniqueName="[TB_Produtos]" displayFolder="" count="0" memberValueDatatype="20" unbalanced="0"/>
    <cacheHierarchy uniqueName="[TB_Produtos].[Preço Unitário]" caption="Preço Unitário" attribute="1" defaultMemberUniqueName="[TB_Produtos].[Preço Unitário].[All]" allUniqueName="[TB_Produtos].[Preço Unitário].[All]" dimensionUniqueName="[TB_Produtos]" displayFolder="" count="0" memberValueDatatype="5" unbalanced="0"/>
    <cacheHierarchy uniqueName="[TB_Vendas].[Nº]" caption="Nº" attribute="1" defaultMemberUniqueName="[TB_Vendas].[Nº].[All]" allUniqueName="[TB_Vendas].[Nº].[All]" dimensionUniqueName="[TB_Vendas]" displayFolder="" count="0" memberValueDatatype="20" unbalanced="0"/>
    <cacheHierarchy uniqueName="[TB_Vendas].[Data]" caption="Data" attribute="1" time="1" defaultMemberUniqueName="[TB_Vendas].[Data].[All]" allUniqueName="[TB_Vendas].[Data].[All]" dimensionUniqueName="[TB_Vendas]" displayFolder="" count="0" memberValueDatatype="7" unbalanced="0"/>
    <cacheHierarchy uniqueName="[TB_Vendas].[Código]" caption="Código" attribute="1" defaultMemberUniqueName="[TB_Vendas].[Código].[All]" allUniqueName="[TB_Vendas].[Código].[All]" dimensionUniqueName="[TB_Vendas]" displayFolder="" count="0" memberValueDatatype="130" unbalanced="0"/>
    <cacheHierarchy uniqueName="[TB_Vendas].[Categoria]" caption="Categoria" attribute="1" defaultMemberUniqueName="[TB_Vendas].[Categoria].[All]" allUniqueName="[TB_Vendas].[Categoria].[All]" dimensionUniqueName="[TB_Vendas]" displayFolder="" count="2" memberValueDatatype="130" unbalanced="0">
      <fieldsUsage count="2">
        <fieldUsage x="-1"/>
        <fieldUsage x="0"/>
      </fieldsUsage>
    </cacheHierarchy>
    <cacheHierarchy uniqueName="[TB_Vendas].[Qtd]" caption="Qtd" attribute="1" defaultMemberUniqueName="[TB_Vendas].[Qtd].[All]" allUniqueName="[TB_Vendas].[Qtd].[All]" dimensionUniqueName="[TB_Vendas]" displayFolder="" count="0" memberValueDatatype="20" unbalanced="0"/>
    <cacheHierarchy uniqueName="[TB_Vendas].[Preço Unitário]" caption="Preço Unitário" attribute="1" defaultMemberUniqueName="[TB_Vendas].[Preço Unitário].[All]" allUniqueName="[TB_Vendas].[Preço Unitário].[All]" dimensionUniqueName="[TB_Vendas]" displayFolder="" count="0" memberValueDatatype="5" unbalanced="0"/>
    <cacheHierarchy uniqueName="[TB_Vendas].[Indice]" caption="Indice" attribute="1" defaultMemberUniqueName="[TB_Vendas].[Indice].[All]" allUniqueName="[TB_Vendas].[Indice].[All]" dimensionUniqueName="[TB_Vendas]" displayFolder="" count="0" memberValueDatatype="20" unbalanced="0"/>
    <cacheHierarchy uniqueName="[TB_Vendas].[Desconto  (Passo a Passo)]" caption="Desconto  (Passo a Passo)" attribute="1" defaultMemberUniqueName="[TB_Vendas].[Desconto  (Passo a Passo)].[All]" allUniqueName="[TB_Vendas].[Desconto  (Passo a Passo)].[All]" dimensionUniqueName="[TB_Vendas]" displayFolder="" count="0" memberValueDatatype="5" unbalanced="0"/>
    <cacheHierarchy uniqueName="[TB_Vendas].[Desconto  (Diretão)]" caption="Desconto  (Diretão)" attribute="1" defaultMemberUniqueName="[TB_Vendas].[Desconto  (Diretão)].[All]" allUniqueName="[TB_Vendas].[Desconto  (Diretão)].[All]" dimensionUniqueName="[TB_Vendas]" displayFolder="" count="0" memberValueDatatype="5" unbalanced="0"/>
    <cacheHierarchy uniqueName="[TB_Vendas].[Desconto  (Vendedor)]" caption="Desconto  (Vendedor)" attribute="1" defaultMemberUniqueName="[TB_Vendas].[Desconto  (Vendedor)].[All]" allUniqueName="[TB_Vendas].[Desconto  (Vendedor)].[All]" dimensionUniqueName="[TB_Vendas]" displayFolder="" count="0" memberValueDatatype="5" unbalanced="0"/>
    <cacheHierarchy uniqueName="[TB_Vendas].[Desconto Final]" caption="Desconto Final" attribute="1" defaultMemberUniqueName="[TB_Vendas].[Desconto Final].[All]" allUniqueName="[TB_Vendas].[Desconto Final].[All]" dimensionUniqueName="[TB_Vendas]" displayFolder="" count="0" memberValueDatatype="5" unbalanced="0"/>
    <cacheHierarchy uniqueName="[TB_Vendas].[Total]" caption="Total" attribute="1" defaultMemberUniqueName="[TB_Vendas].[Total].[All]" allUniqueName="[TB_Vendas].[Total].[All]" dimensionUniqueName="[TB_Vendas]" displayFolder="" count="0" memberValueDatatype="5" unbalanced="0"/>
    <cacheHierarchy uniqueName="[TB_Vendas].[Vendedor]" caption="Vendedor" attribute="1" defaultMemberUniqueName="[TB_Vendas].[Vendedor].[All]" allUniqueName="[TB_Vendas].[Vendedor].[All]" dimensionUniqueName="[TB_Vendas]" displayFolder="" count="0" memberValueDatatype="130" unbalanced="0"/>
    <cacheHierarchy uniqueName="[TB_Vendas].[Data (Mês)]" caption="Data (Mês)" attribute="1" defaultMemberUniqueName="[TB_Vendas].[Data (Mês)].[All]" allUniqueName="[TB_Vendas].[Data (Mês)].[All]" dimensionUniqueName="[TB_Vendas]" displayFolder="" count="0" memberValueDatatype="130" unbalanced="0"/>
    <cacheHierarchy uniqueName="[TB_Vendas].[Data (Índice de Mês)]" caption="Data (Índice de Mês)" attribute="1" defaultMemberUniqueName="[TB_Vendas].[Data (Índice de Mês)].[All]" allUniqueName="[TB_Vendas].[Data (Índice de Mês)].[All]" dimensionUniqueName="[TB_Vendas]" displayFolder="" count="0" memberValueDatatype="20" unbalanced="0" hidden="1"/>
    <cacheHierarchy uniqueName="[Measures].[Soma de Qtd]" caption="Soma de Qtd" measure="1" displayFolder="" measureGroup="TB_Vendas" count="0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Total]" caption="Soma de Total" measure="1" displayFolder="" measureGroup="TB_Vendas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Preço Unitário]" caption="Soma de Preço Unitário" measure="1" displayFolder="" measureGroup="TB_Vendas" count="0">
      <extLst>
        <ext xmlns:x15="http://schemas.microsoft.com/office/spreadsheetml/2010/11/main" uri="{B97F6D7D-B522-45F9-BDA1-12C45D357490}">
          <x15:cacheHierarchy aggregatedColumn="15"/>
        </ext>
      </extLst>
    </cacheHierarchy>
    <cacheHierarchy uniqueName="[Measures].[Contagem de Total]" caption="Contagem de Total" measure="1" displayFolder="" measureGroup="TB_Vendas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oma de Vendas]" caption="Soma de Vendas" measure="1" displayFolder="" measureGroup="TB_Vendas" count="0"/>
    <cacheHierarchy uniqueName="[Measures].[Vendas Totais]" caption="Vendas Totais" measure="1" displayFolder="" measureGroup="TB_Vendas" count="0"/>
    <cacheHierarchy uniqueName="[Measures].[% Categoria]" caption="% Categoria" measure="1" displayFolder="" measureGroup="TB_Vendas" count="0" oneField="1">
      <fieldsUsage count="1">
        <fieldUsage x="1"/>
      </fieldsUsage>
    </cacheHierarchy>
    <cacheHierarchy uniqueName="[Measures].[% Restante]" caption="% Restante" measure="1" displayFolder="" measureGroup="TB_Vendas" count="0" oneField="1">
      <fieldsUsage count="1">
        <fieldUsage x="2"/>
      </fieldsUsage>
    </cacheHierarchy>
    <cacheHierarchy uniqueName="[Measures].[__XL_Count TB_Produtos]" caption="__XL_Count TB_Produtos" measure="1" displayFolder="" measureGroup="TB_Produtos" count="0" hidden="1"/>
    <cacheHierarchy uniqueName="[Measures].[__XL_Count TB_Vendas]" caption="__XL_Count TB_Vendas" measure="1" displayFolder="" measureGroup="TB_Vendas" count="0" hidden="1"/>
    <cacheHierarchy uniqueName="[Measures].[__XL_Count Intervalo]" caption="__XL_Count Intervalo" measure="1" displayFolder="" measureGroup="Intervalo" count="0" hidden="1"/>
    <cacheHierarchy uniqueName="[Measures].[__No measures defined]" caption="__No measures defined" measure="1" displayFolder="" count="0" hidden="1"/>
  </cacheHierarchies>
  <kpis count="0"/>
  <dimensions count="4">
    <dimension name="Intervalo" uniqueName="[Intervalo]" caption="Intervalo"/>
    <dimension measure="1" name="Measures" uniqueName="[Measures]" caption="Measures"/>
    <dimension name="TB_Produtos" uniqueName="[TB_Produtos]" caption="TB_Produtos"/>
    <dimension name="TB_Vendas" uniqueName="[TB_Vendas]" caption="TB_Vendas"/>
  </dimensions>
  <measureGroups count="3">
    <measureGroup name="Intervalo" caption="Intervalo"/>
    <measureGroup name="TB_Produtos" caption="TB_Produtos"/>
    <measureGroup name="TB_Vendas" caption="TB_Vendas"/>
  </measureGroups>
  <maps count="5">
    <map measureGroup="0" dimension="0"/>
    <map measureGroup="1" dimension="2"/>
    <map measureGroup="2" dimension="0"/>
    <map measureGroup="2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PR001"/>
    <x v="0"/>
    <s v="P"/>
    <x v="0"/>
    <n v="48"/>
    <n v="65.900000000000006"/>
  </r>
  <r>
    <s v="PR002"/>
    <x v="0"/>
    <s v="M"/>
    <x v="0"/>
    <n v="17"/>
    <n v="69.900000000000006"/>
  </r>
  <r>
    <s v="PR003"/>
    <x v="0"/>
    <s v="G"/>
    <x v="0"/>
    <n v="25"/>
    <n v="70.900000000000006"/>
  </r>
  <r>
    <s v="PR004"/>
    <x v="1"/>
    <s v="Único"/>
    <x v="1"/>
    <n v="36"/>
    <n v="145"/>
  </r>
  <r>
    <s v="PR005"/>
    <x v="2"/>
    <s v="Único"/>
    <x v="1"/>
    <n v="21"/>
    <n v="259.89999999999998"/>
  </r>
  <r>
    <s v="PR006"/>
    <x v="3"/>
    <s v="Único"/>
    <x v="1"/>
    <n v="23"/>
    <n v="39.9"/>
  </r>
  <r>
    <s v="PR007"/>
    <x v="4"/>
    <s v="P"/>
    <x v="0"/>
    <n v="24"/>
    <n v="85.9"/>
  </r>
  <r>
    <s v="PR008"/>
    <x v="4"/>
    <s v="M"/>
    <x v="0"/>
    <n v="35"/>
    <n v="89.9"/>
  </r>
  <r>
    <s v="PR009"/>
    <x v="4"/>
    <s v="G"/>
    <x v="0"/>
    <n v="47"/>
    <n v="92.9"/>
  </r>
  <r>
    <s v="PR010"/>
    <x v="5"/>
    <s v="P"/>
    <x v="0"/>
    <n v="42"/>
    <n v="44.9"/>
  </r>
  <r>
    <s v="PR011"/>
    <x v="5"/>
    <s v="M"/>
    <x v="0"/>
    <n v="32"/>
    <n v="46.9"/>
  </r>
  <r>
    <s v="PR012"/>
    <x v="5"/>
    <s v="G"/>
    <x v="0"/>
    <n v="45"/>
    <n v="48.9"/>
  </r>
  <r>
    <s v="PR013"/>
    <x v="6"/>
    <s v="P"/>
    <x v="0"/>
    <n v="19"/>
    <n v="39.9"/>
  </r>
  <r>
    <s v="PR014"/>
    <x v="6"/>
    <s v="M"/>
    <x v="0"/>
    <n v="37"/>
    <n v="39.9"/>
  </r>
  <r>
    <s v="PR015"/>
    <x v="6"/>
    <s v="G"/>
    <x v="0"/>
    <n v="16"/>
    <n v="42.5"/>
  </r>
  <r>
    <s v="PR016"/>
    <x v="7"/>
    <s v="P"/>
    <x v="0"/>
    <n v="43"/>
    <n v="25.9"/>
  </r>
  <r>
    <s v="PR017"/>
    <x v="8"/>
    <s v="M"/>
    <x v="0"/>
    <n v="46"/>
    <n v="29.9"/>
  </r>
  <r>
    <s v="PR018"/>
    <x v="8"/>
    <s v="G"/>
    <x v="0"/>
    <n v="0"/>
    <n v="32.9"/>
  </r>
  <r>
    <s v="PR019"/>
    <x v="9"/>
    <s v="Único"/>
    <x v="1"/>
    <n v="2"/>
    <n v="49.9"/>
  </r>
  <r>
    <s v="PR020"/>
    <x v="10"/>
    <s v="P"/>
    <x v="0"/>
    <n v="34"/>
    <n v="299.89999999999998"/>
  </r>
  <r>
    <s v="PR021"/>
    <x v="10"/>
    <s v="M"/>
    <x v="0"/>
    <n v="34"/>
    <n v="302.89999999999998"/>
  </r>
  <r>
    <s v="PR022"/>
    <x v="10"/>
    <s v="G"/>
    <x v="0"/>
    <n v="35"/>
    <n v="300"/>
  </r>
  <r>
    <s v="PR023"/>
    <x v="11"/>
    <s v="P"/>
    <x v="0"/>
    <n v="49"/>
    <n v="249.9"/>
  </r>
  <r>
    <s v="PR024"/>
    <x v="11"/>
    <s v="M"/>
    <x v="0"/>
    <n v="16"/>
    <n v="259.89999999999998"/>
  </r>
  <r>
    <s v="PR025"/>
    <x v="11"/>
    <s v="G"/>
    <x v="0"/>
    <n v="41"/>
    <n v="299.89999999999998"/>
  </r>
  <r>
    <s v="PR026"/>
    <x v="12"/>
    <s v="Único"/>
    <x v="1"/>
    <n v="32"/>
    <n v="349.9"/>
  </r>
  <r>
    <s v="PR027"/>
    <x v="13"/>
    <s v="Único"/>
    <x v="1"/>
    <n v="45"/>
    <n v="120"/>
  </r>
  <r>
    <s v="PR028"/>
    <x v="14"/>
    <n v="36"/>
    <x v="2"/>
    <n v="37"/>
    <n v="249.9"/>
  </r>
  <r>
    <s v="PR029"/>
    <x v="14"/>
    <n v="37"/>
    <x v="2"/>
    <n v="41"/>
    <n v="255"/>
  </r>
  <r>
    <s v="PR030"/>
    <x v="14"/>
    <n v="38"/>
    <x v="2"/>
    <n v="30"/>
    <n v="259.89999999999998"/>
  </r>
  <r>
    <s v="PR031"/>
    <x v="15"/>
    <n v="36"/>
    <x v="2"/>
    <n v="27"/>
    <n v="245"/>
  </r>
  <r>
    <s v="PR032"/>
    <x v="15"/>
    <n v="37"/>
    <x v="2"/>
    <n v="41"/>
    <n v="250"/>
  </r>
  <r>
    <s v="PR033"/>
    <x v="15"/>
    <n v="38"/>
    <x v="2"/>
    <n v="43"/>
    <n v="259.89999999999998"/>
  </r>
  <r>
    <s v="PR034"/>
    <x v="16"/>
    <s v="P"/>
    <x v="0"/>
    <n v="43"/>
    <n v="89.9"/>
  </r>
  <r>
    <s v="PR035"/>
    <x v="16"/>
    <s v="M"/>
    <x v="0"/>
    <n v="18"/>
    <n v="91.4"/>
  </r>
  <r>
    <s v="PR036"/>
    <x v="16"/>
    <s v="G"/>
    <x v="0"/>
    <n v="45"/>
    <n v="93.5"/>
  </r>
  <r>
    <s v="PR037"/>
    <x v="17"/>
    <s v="P"/>
    <x v="0"/>
    <n v="34"/>
    <n v="140"/>
  </r>
  <r>
    <s v="PR038"/>
    <x v="17"/>
    <s v="M"/>
    <x v="0"/>
    <n v="47"/>
    <n v="142.9"/>
  </r>
  <r>
    <s v="PR039"/>
    <x v="17"/>
    <s v="G"/>
    <x v="0"/>
    <n v="50"/>
    <n v="146"/>
  </r>
  <r>
    <s v="PR040"/>
    <x v="18"/>
    <s v="P"/>
    <x v="0"/>
    <n v="16"/>
    <n v="70"/>
  </r>
  <r>
    <s v="PR041"/>
    <x v="18"/>
    <s v="M"/>
    <x v="0"/>
    <n v="21"/>
    <n v="54.9"/>
  </r>
  <r>
    <s v="PR042"/>
    <x v="18"/>
    <s v="G"/>
    <x v="0"/>
    <n v="43"/>
    <n v="54.9"/>
  </r>
  <r>
    <s v="PR043"/>
    <x v="19"/>
    <s v="P"/>
    <x v="0"/>
    <n v="43"/>
    <n v="72.5"/>
  </r>
  <r>
    <s v="PR044"/>
    <x v="19"/>
    <s v="M"/>
    <x v="0"/>
    <n v="41"/>
    <n v="72.5"/>
  </r>
  <r>
    <s v="PR045"/>
    <x v="19"/>
    <s v="G"/>
    <x v="0"/>
    <n v="49"/>
    <n v="72.5"/>
  </r>
  <r>
    <s v="PR046"/>
    <x v="20"/>
    <s v="P"/>
    <x v="0"/>
    <n v="15"/>
    <n v="289.89999999999998"/>
  </r>
  <r>
    <s v="PR047"/>
    <x v="20"/>
    <s v="M"/>
    <x v="0"/>
    <n v="10"/>
    <n v="289.89999999999998"/>
  </r>
  <r>
    <s v="PR048"/>
    <x v="20"/>
    <s v="G"/>
    <x v="0"/>
    <n v="21"/>
    <n v="289.89999999999998"/>
  </r>
  <r>
    <s v="PR049"/>
    <x v="21"/>
    <s v="P"/>
    <x v="0"/>
    <n v="8"/>
    <n v="32.9"/>
  </r>
  <r>
    <s v="PR050"/>
    <x v="21"/>
    <s v="M"/>
    <x v="0"/>
    <n v="42"/>
    <n v="32.9"/>
  </r>
  <r>
    <s v="PR051"/>
    <x v="21"/>
    <s v="G"/>
    <x v="0"/>
    <n v="48"/>
    <n v="32.9"/>
  </r>
  <r>
    <s v="PR052"/>
    <x v="22"/>
    <s v="P"/>
    <x v="0"/>
    <n v="35"/>
    <n v="49.9"/>
  </r>
  <r>
    <s v="PR053"/>
    <x v="22"/>
    <s v="M"/>
    <x v="0"/>
    <n v="40"/>
    <n v="49.9"/>
  </r>
  <r>
    <s v="PR054"/>
    <x v="22"/>
    <s v="G"/>
    <x v="0"/>
    <n v="18"/>
    <n v="49.9"/>
  </r>
  <r>
    <s v="PR055"/>
    <x v="23"/>
    <n v="35"/>
    <x v="2"/>
    <n v="48"/>
    <n v="89.9"/>
  </r>
  <r>
    <s v="PR056"/>
    <x v="23"/>
    <n v="36"/>
    <x v="2"/>
    <n v="38"/>
    <n v="89.9"/>
  </r>
  <r>
    <s v="PR057"/>
    <x v="23"/>
    <n v="37"/>
    <x v="2"/>
    <n v="45"/>
    <n v="89.9"/>
  </r>
  <r>
    <s v="PR058"/>
    <x v="24"/>
    <s v="P"/>
    <x v="0"/>
    <n v="40"/>
    <n v="180"/>
  </r>
  <r>
    <s v="PR059"/>
    <x v="24"/>
    <s v="M"/>
    <x v="0"/>
    <n v="35"/>
    <n v="180"/>
  </r>
  <r>
    <s v="PR060"/>
    <x v="24"/>
    <s v="G"/>
    <x v="0"/>
    <n v="35"/>
    <n v="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F4437-D742-4009-A878-93CE27DC09F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3:F7" firstHeaderRow="1" firstDataRow="1" firstDataCol="1"/>
  <pivotFields count="6">
    <pivotField showAll="0"/>
    <pivotField dataField="1" showAll="0"/>
    <pivotField showAll="0"/>
    <pivotField axis="axisRow" showAll="0">
      <items count="5">
        <item x="0"/>
        <item x="1"/>
        <item x="2"/>
        <item m="1" x="3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Produto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1AC2DB-9D34-4C73-9C17-69E49E83318C}" name="TBDN_Produtos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3:C7" firstHeaderRow="0" firstDataRow="1" firstDataCol="1"/>
  <pivotFields count="6">
    <pivotField showAll="0"/>
    <pivotField axis="axisRow" showAll="0">
      <items count="27">
        <item x="0"/>
        <item x="1"/>
        <item x="2"/>
        <item x="3"/>
        <item x="24"/>
        <item x="4"/>
        <item x="5"/>
        <item x="18"/>
        <item x="6"/>
        <item x="7"/>
        <item x="8"/>
        <item x="21"/>
        <item x="9"/>
        <item x="10"/>
        <item x="20"/>
        <item x="11"/>
        <item x="12"/>
        <item x="13"/>
        <item x="22"/>
        <item x="23"/>
        <item x="14"/>
        <item x="15"/>
        <item x="16"/>
        <item x="19"/>
        <item x="17"/>
        <item m="1" x="25"/>
        <item t="default"/>
      </items>
    </pivotField>
    <pivotField showAll="0"/>
    <pivotField axis="axisRow" showAll="0">
      <items count="5">
        <item sd="0" x="0"/>
        <item sd="0" x="1"/>
        <item sd="0" x="2"/>
        <item sd="0" m="1" x="3"/>
        <item t="default"/>
      </items>
    </pivotField>
    <pivotField dataField="1" showAll="0"/>
    <pivotField dataField="1" showAll="0"/>
  </pivotFields>
  <rowFields count="2">
    <field x="3"/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Estoque" fld="4" baseField="0" baseItem="0"/>
    <dataField name="Soma de Preço Unitário" fld="5" baseField="3" baseItem="0" numFmtId="165"/>
  </dataFields>
  <formats count="4">
    <format dxfId="4">
      <pivotArea collapsedLevelsAreSubtotals="1" fieldPosition="0">
        <references count="1">
          <reference field="3" count="0"/>
        </references>
      </pivotArea>
    </format>
    <format dxfId="3">
      <pivotArea dataOnly="0" labelOnly="1" fieldPosition="0">
        <references count="1">
          <reference field="3" count="0"/>
        </references>
      </pivotArea>
    </format>
    <format dxfId="2">
      <pivotArea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7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D9FBC-B08C-4BAE-B3B1-121CFDA390C2}" name="Tabela dinâmica2" cacheId="190" applyNumberFormats="0" applyBorderFormats="0" applyFontFormats="0" applyPatternFormats="0" applyAlignmentFormats="0" applyWidthHeightFormats="1" dataCaption="Valores" tag="39189e7b-359c-4592-a31a-ef3f00d862ee" updatedVersion="8" minRefreshableVersion="3" useAutoFormatting="1" itemPrintTitles="1" createdVersion="8" indent="0" outline="1" outlineData="1" multipleFieldFilters="0">
  <location ref="E3:H7" firstHeaderRow="0" firstDataRow="1" firstDataCol="1"/>
  <pivotFields count="4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name="Soma de Total" fld="3" baseField="0" baseItem="1" numFmtId="44"/>
  </dataField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060B4-2C19-4088-9834-1C848FA891D0}" name="TBDN_Vendas" cacheId="166" applyNumberFormats="0" applyBorderFormats="0" applyFontFormats="0" applyPatternFormats="0" applyAlignmentFormats="0" applyWidthHeightFormats="1" dataCaption="Valores" tag="bc3dc771-d3ba-40d4-8642-502c32103ea2" updatedVersion="8" minRefreshableVersion="5" useAutoFormatting="1" itemPrintTitles="1" createdVersion="8" indent="0" outline="1" outlineData="1" multipleFieldFilters="0" chartFormat="2">
  <location ref="A3:C12" firstHeaderRow="0" firstDataRow="1" firstDataCol="1"/>
  <pivotFields count="4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2" baseField="0" baseItem="7" numFmtId="165"/>
    <dataField name="Soma de Qtd" fld="1" baseField="0" baseItem="0"/>
  </dataFields>
  <chartFormats count="2"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oma de Total"/>
    <pivotHierarchy dragToData="1"/>
    <pivotHierarchy dragToData="1" caption="Contagem de Total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3" type="dateBetween" evalOrder="-1" id="4" name="[TB_Vendas].[Data]">
      <autoFilter ref="A1">
        <filterColumn colId="0">
          <customFilters and="1">
            <customFilter operator="greaterThanOrEqual" val="45017"/>
            <customFilter operator="lessThanOrEqual" val="45138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rowHierarchiesUsage count="1">
    <rowHierarchyUsage hierarchyUsage="2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_Vendas]"/>
        <x15:activeTabTopLevelEntity name="[TB_Produto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E40815-5721-4616-88CA-FF2DD5A3FF15}" name="TBDN_Vendedores" cacheId="169" applyNumberFormats="0" applyBorderFormats="0" applyFontFormats="0" applyPatternFormats="0" applyAlignmentFormats="0" applyWidthHeightFormats="1" dataCaption="Valores" tag="dcf589ae-5672-4650-a21a-b4d454948888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2">
    <pivotField name="Vendedor"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" fld="1" baseField="0" baseItem="0" numFmtId="4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Intervalo]"/>
        <x15:activeTabTopLevelEntity name="[TB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1" xr10:uid="{54E26E9F-7892-4ED2-B74F-11910F4F3CC5}" sourceName="Categoria">
  <pivotTables>
    <pivotTable tabId="35" name="TBDN_Produtos"/>
    <pivotTable tabId="35" name="Tabela dinâmica3"/>
  </pivotTables>
  <data>
    <tabular pivotCacheId="188848658">
      <items count="4">
        <i x="0" s="1"/>
        <i x="1" s="1"/>
        <i x="2" s="1"/>
        <i x="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ia 1" xr10:uid="{6404326A-D211-4EA3-8165-FC1463C7F321}" cache="SegmentaçãodeDados_Categoria1" caption="Categoria" columnCount="3" style="SlicerStyleLight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AC111B-A369-4C0B-9503-7C5B9442DAEA}" name="TB_Produtos" displayName="TB_Produtos" ref="B6:G66" totalsRowShown="0" headerRowDxfId="24">
  <autoFilter ref="B6:G66" xr:uid="{40AC111B-A369-4C0B-9503-7C5B9442D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2F8ED5FF-48A1-488E-9DF1-FE060F71A415}" name="Código" dataDxfId="23"/>
    <tableColumn id="2" xr3:uid="{E100D4E2-C3A0-43FF-A1D9-90A4BC2A9918}" name="Produtos"/>
    <tableColumn id="3" xr3:uid="{2EF7FEE0-6B6F-4534-86A0-46B6555B7BEF}" name="Tamanho" dataDxfId="22"/>
    <tableColumn id="4" xr3:uid="{4435A4B8-E7F0-4D66-A4F8-6A9FEAA36D5A}" name="Categoria"/>
    <tableColumn id="6" xr3:uid="{15F9CACC-A558-4A20-80CF-C2ADA2603221}" name="Estoque" dataDxfId="21"/>
    <tableColumn id="5" xr3:uid="{CA8AD0DE-58EC-4839-85FB-1DD75DA28087}" name="Preço Unitário" dataDxfId="20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739091-30BD-4C30-BDDA-7504C0C4B6E2}" name="TB_Vendas" displayName="TB_Vendas" ref="A4:M86" totalsRowShown="0" headerRowDxfId="19" dataDxfId="18" headerRowCellStyle="Cabeçalho Meteora">
  <autoFilter ref="A4:M86" xr:uid="{AD739091-30BD-4C30-BDDA-7504C0C4B6E2}"/>
  <tableColumns count="13">
    <tableColumn id="7" xr3:uid="{5E8DE7C3-CDB6-4314-A5CC-C44D3C21973F}" name="Nº" dataDxfId="17">
      <calculatedColumnFormula>MONTH(TB_Vendas[[#This Row],[Data]])</calculatedColumnFormula>
    </tableColumn>
    <tableColumn id="1" xr3:uid="{43632F1F-6978-4CE7-BB13-7CCE587D6821}" name="Data" dataDxfId="16"/>
    <tableColumn id="12" xr3:uid="{205A55AB-454E-4288-AE23-042C3C399E7A}" name="Código" dataDxfId="15"/>
    <tableColumn id="16" xr3:uid="{059789B1-50A2-47F3-849D-D1EE26B94731}" name="Categoria" dataDxfId="14">
      <calculatedColumnFormula>_xlfn.XLOOKUP(TB_Vendas[[#This Row],[Código]],TB_Produtos[Código],TB_Produtos[Categoria])</calculatedColumnFormula>
    </tableColumn>
    <tableColumn id="5" xr3:uid="{7DC2ADED-AF8A-4BC8-A38E-FEF676FE49C9}" name="Qtd" dataDxfId="13"/>
    <tableColumn id="9" xr3:uid="{05B7315B-2774-41BC-AFEC-4A19E452D6C7}" name="Preço Unitário" dataDxfId="12">
      <calculatedColumnFormula>VLOOKUP(TB_Vendas[[#This Row],[Código]],Produtos!$B$6:$G$66,6,0)</calculatedColumnFormula>
    </tableColumn>
    <tableColumn id="18" xr3:uid="{152BED38-8D5F-4FAA-8C38-58740E2353E5}" name="Indice" dataDxfId="11">
      <calculatedColumnFormula>_xlfn.XMATCH(TB_Vendas[[#This Row],[Categoria]],Desc_Categorias,0)</calculatedColumnFormula>
    </tableColumn>
    <tableColumn id="17" xr3:uid="{C4E78734-94D7-4D31-B07D-5609B855AC0F}" name="Desconto _x000a_(Passo a Passo)" dataDxfId="10" dataCellStyle="Porcentagem">
      <calculatedColumnFormula>VLOOKUP(TB_Vendas[[#This Row],[Qtd]],Desc_TabelaToda,TB_Vendas[[#This Row],[Indice]],TRUE)</calculatedColumnFormula>
    </tableColumn>
    <tableColumn id="2" xr3:uid="{4BEBDE19-FA81-4412-AC83-E0AE6998A9B4}" name="Desconto _x000a_(Diretão)" dataDxfId="9" dataCellStyle="Porcentagem">
      <calculatedColumnFormula array="1">INDEX(Desc_TabelaToda,MATCH(TB_Vendas[[#This Row],[Qtd]],Desc_Quantidades,1),MATCH(_xlfn.XLOOKUP(TB_Vendas[[#This Row],[Código]],TB_Produtos[[#All],[Código]],TB_Produtos[[#All],[Categoria]]),Desc_Categorias,0))</calculatedColumnFormula>
    </tableColumn>
    <tableColumn id="3" xr3:uid="{A390EF1B-6262-46F1-9157-812330B340F7}" name="Desconto _x000a_(Vendedor)" dataDxfId="8" dataCellStyle="Porcentagem">
      <calculatedColumnFormula>_xlfn.XLOOKUP(TB_Vendas[[#This Row],[Vendedor]],Vendedores!$A$5:$A$9,Vendedores!$D$5:$D$9)</calculatedColumnFormula>
    </tableColumn>
    <tableColumn id="4" xr3:uid="{0BDC1FEC-277F-4592-AE4E-EB3C0FEF2F34}" name="Desconto Final" dataDxfId="7" dataCellStyle="Porcentagem">
      <calculatedColumnFormula>IF(TB_Vendas[[#This Row],[Desconto 
(Diretão)]]&lt;=TB_Vendas[[#This Row],[Desconto 
(Vendedor)]],TB_Vendas[[#This Row],[Desconto 
(Diretão)]],TB_Vendas[[#This Row],[Desconto 
(Vendedor)]])</calculatedColumnFormula>
    </tableColumn>
    <tableColumn id="6" xr3:uid="{9459B662-6A4F-4486-82B1-12F67B8F842E}" name="Total" dataDxfId="6">
      <calculatedColumnFormula>TB_Vendas[[#This Row],[Preço Unitário]]*TB_Vendas[[#This Row],[Qtd]]</calculatedColumnFormula>
    </tableColumn>
    <tableColumn id="8" xr3:uid="{192FEBCA-1287-48A6-9BE6-69528F71C305}" name="Vendedor" dataDxfId="5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Loja Meteor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0000"/>
      </a:accent1>
      <a:accent2>
        <a:srgbClr val="DAFF01"/>
      </a:accent2>
      <a:accent3>
        <a:srgbClr val="CCCCCC"/>
      </a:accent3>
      <a:accent4>
        <a:srgbClr val="F87F46"/>
      </a:accent4>
      <a:accent5>
        <a:srgbClr val="EE6471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8459-A54B-43BC-8015-18FA787E0663}">
  <dimension ref="A1:L16"/>
  <sheetViews>
    <sheetView workbookViewId="0">
      <pane activePane="bottomRight" state="frozen"/>
      <selection sqref="A1:L6"/>
    </sheetView>
  </sheetViews>
  <sheetFormatPr defaultColWidth="0" defaultRowHeight="15" zeroHeight="1"/>
  <cols>
    <col min="1" max="12" width="8.85546875" customWidth="1"/>
    <col min="13" max="16384" width="8.85546875" hidden="1"/>
  </cols>
  <sheetData>
    <row r="1" spans="1:12">
      <c r="A1" s="103"/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</row>
    <row r="2" spans="1:12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</row>
    <row r="3" spans="1:12">
      <c r="A3" s="103"/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</row>
    <row r="4" spans="1:12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</row>
    <row r="5" spans="1:12">
      <c r="A5" s="103"/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</row>
    <row r="6" spans="1:12">
      <c r="A6" s="103"/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</row>
    <row r="7" spans="1:1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spans="1:1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</row>
    <row r="9" spans="1:1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</row>
    <row r="10" spans="1:1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</row>
    <row r="11" spans="1:12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pans="1:1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</row>
    <row r="13" spans="1:1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</row>
    <row r="14" spans="1:1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</row>
    <row r="15" spans="1:1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</row>
    <row r="16" spans="1:1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</sheetData>
  <sheetProtection sheet="1" objects="1" scenarios="1" selectLockedCells="1"/>
  <mergeCells count="1">
    <mergeCell ref="A1:L6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DA2D8-DE9E-4ACF-B5A7-8907124C5CF1}">
  <dimension ref="A1:I66"/>
  <sheetViews>
    <sheetView showGridLines="0" zoomScale="120" zoomScaleNormal="120" workbookViewId="0">
      <pane ySplit="1" topLeftCell="A60" activePane="bottomLeft" state="frozen"/>
      <selection pane="bottomLeft" activeCell="C66" sqref="C66"/>
    </sheetView>
  </sheetViews>
  <sheetFormatPr defaultColWidth="0" defaultRowHeight="15"/>
  <cols>
    <col min="1" max="1" width="8.42578125" customWidth="1"/>
    <col min="2" max="2" width="18.28515625" bestFit="1" customWidth="1"/>
    <col min="3" max="3" width="22.7109375" style="1" customWidth="1"/>
    <col min="4" max="4" width="14" bestFit="1" customWidth="1"/>
    <col min="5" max="5" width="17.140625" bestFit="1" customWidth="1"/>
    <col min="6" max="6" width="13.140625" customWidth="1"/>
    <col min="7" max="7" width="22.85546875" bestFit="1" customWidth="1"/>
    <col min="8" max="8" width="8.85546875" customWidth="1"/>
    <col min="9" max="16384" width="8.85546875" hidden="1"/>
  </cols>
  <sheetData>
    <row r="1" spans="1:9" s="13" customFormat="1" ht="40.15" customHeight="1">
      <c r="A1" s="16"/>
      <c r="B1" s="20" t="s">
        <v>120</v>
      </c>
      <c r="C1" s="20"/>
      <c r="D1" s="20"/>
      <c r="E1" s="20"/>
      <c r="F1" s="20"/>
      <c r="G1" s="20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18" customHeight="1">
      <c r="A4" s="19"/>
      <c r="B4" s="19"/>
      <c r="D4" s="15"/>
      <c r="E4" s="15"/>
      <c r="F4" s="15"/>
    </row>
    <row r="5" spans="1:9" ht="4.9000000000000004" customHeight="1">
      <c r="A5" s="15"/>
      <c r="B5" s="15"/>
      <c r="C5" s="15"/>
      <c r="D5" s="15"/>
      <c r="E5" s="15"/>
      <c r="F5" s="15"/>
    </row>
    <row r="6" spans="1:9" s="1" customFormat="1" ht="18.75">
      <c r="B6" s="9" t="s">
        <v>30</v>
      </c>
      <c r="C6" s="9" t="s">
        <v>0</v>
      </c>
      <c r="D6" s="9" t="s">
        <v>1</v>
      </c>
      <c r="E6" s="9" t="s">
        <v>10</v>
      </c>
      <c r="F6" s="9" t="s">
        <v>75</v>
      </c>
      <c r="G6" s="9" t="s">
        <v>11</v>
      </c>
      <c r="H6" s="9"/>
    </row>
    <row r="7" spans="1:9">
      <c r="B7" s="1" t="s">
        <v>31</v>
      </c>
      <c r="C7" t="s">
        <v>5</v>
      </c>
      <c r="D7" s="1" t="s">
        <v>2</v>
      </c>
      <c r="E7" t="s">
        <v>12</v>
      </c>
      <c r="F7" s="1">
        <v>48</v>
      </c>
      <c r="G7" s="2">
        <v>65.900000000000006</v>
      </c>
    </row>
    <row r="8" spans="1:9">
      <c r="B8" s="1" t="s">
        <v>32</v>
      </c>
      <c r="C8" t="s">
        <v>5</v>
      </c>
      <c r="D8" s="1" t="s">
        <v>3</v>
      </c>
      <c r="E8" t="s">
        <v>12</v>
      </c>
      <c r="F8" s="1">
        <v>17</v>
      </c>
      <c r="G8" s="2">
        <v>69.900000000000006</v>
      </c>
    </row>
    <row r="9" spans="1:9">
      <c r="B9" s="1" t="s">
        <v>33</v>
      </c>
      <c r="C9" t="s">
        <v>5</v>
      </c>
      <c r="D9" s="1" t="s">
        <v>4</v>
      </c>
      <c r="E9" t="s">
        <v>12</v>
      </c>
      <c r="F9" s="1">
        <v>25</v>
      </c>
      <c r="G9" s="2">
        <v>70.900000000000006</v>
      </c>
    </row>
    <row r="10" spans="1:9">
      <c r="B10" s="1" t="s">
        <v>34</v>
      </c>
      <c r="C10" t="s">
        <v>29</v>
      </c>
      <c r="D10" s="1" t="s">
        <v>8</v>
      </c>
      <c r="E10" t="s">
        <v>13</v>
      </c>
      <c r="F10" s="1">
        <v>36</v>
      </c>
      <c r="G10" s="2">
        <v>145</v>
      </c>
    </row>
    <row r="11" spans="1:9">
      <c r="B11" s="1" t="s">
        <v>35</v>
      </c>
      <c r="C11" t="s">
        <v>28</v>
      </c>
      <c r="D11" s="1" t="s">
        <v>8</v>
      </c>
      <c r="E11" t="s">
        <v>13</v>
      </c>
      <c r="F11" s="1">
        <v>21</v>
      </c>
      <c r="G11" s="2">
        <v>259.89999999999998</v>
      </c>
    </row>
    <row r="12" spans="1:9">
      <c r="B12" s="1" t="s">
        <v>36</v>
      </c>
      <c r="C12" t="s">
        <v>6</v>
      </c>
      <c r="D12" s="1" t="s">
        <v>8</v>
      </c>
      <c r="E12" t="s">
        <v>13</v>
      </c>
      <c r="F12" s="1">
        <v>23</v>
      </c>
      <c r="G12" s="2">
        <v>39.9</v>
      </c>
    </row>
    <row r="13" spans="1:9">
      <c r="B13" s="1" t="s">
        <v>37</v>
      </c>
      <c r="C13" t="s">
        <v>23</v>
      </c>
      <c r="D13" s="1" t="s">
        <v>2</v>
      </c>
      <c r="E13" t="s">
        <v>12</v>
      </c>
      <c r="F13" s="1">
        <v>24</v>
      </c>
      <c r="G13" s="2">
        <v>85.9</v>
      </c>
    </row>
    <row r="14" spans="1:9">
      <c r="B14" s="1" t="s">
        <v>38</v>
      </c>
      <c r="C14" t="s">
        <v>23</v>
      </c>
      <c r="D14" s="1" t="s">
        <v>3</v>
      </c>
      <c r="E14" t="s">
        <v>12</v>
      </c>
      <c r="F14" s="1">
        <v>35</v>
      </c>
      <c r="G14" s="2">
        <v>89.9</v>
      </c>
    </row>
    <row r="15" spans="1:9">
      <c r="B15" s="1" t="s">
        <v>39</v>
      </c>
      <c r="C15" t="s">
        <v>23</v>
      </c>
      <c r="D15" s="1" t="s">
        <v>4</v>
      </c>
      <c r="E15" t="s">
        <v>12</v>
      </c>
      <c r="F15" s="1">
        <v>47</v>
      </c>
      <c r="G15" s="2">
        <v>92.9</v>
      </c>
    </row>
    <row r="16" spans="1:9">
      <c r="B16" s="1" t="s">
        <v>40</v>
      </c>
      <c r="C16" t="s">
        <v>26</v>
      </c>
      <c r="D16" s="1" t="s">
        <v>2</v>
      </c>
      <c r="E16" t="s">
        <v>12</v>
      </c>
      <c r="F16" s="1">
        <v>42</v>
      </c>
      <c r="G16" s="2">
        <v>44.9</v>
      </c>
    </row>
    <row r="17" spans="2:7">
      <c r="B17" s="1" t="s">
        <v>41</v>
      </c>
      <c r="C17" t="s">
        <v>26</v>
      </c>
      <c r="D17" s="1" t="s">
        <v>3</v>
      </c>
      <c r="E17" t="s">
        <v>12</v>
      </c>
      <c r="F17" s="1">
        <v>32</v>
      </c>
      <c r="G17" s="2">
        <v>46.9</v>
      </c>
    </row>
    <row r="18" spans="2:7">
      <c r="B18" s="1" t="s">
        <v>42</v>
      </c>
      <c r="C18" t="s">
        <v>26</v>
      </c>
      <c r="D18" s="1" t="s">
        <v>4</v>
      </c>
      <c r="E18" t="s">
        <v>12</v>
      </c>
      <c r="F18" s="1">
        <v>45</v>
      </c>
      <c r="G18" s="2">
        <v>48.9</v>
      </c>
    </row>
    <row r="19" spans="2:7">
      <c r="B19" s="1" t="s">
        <v>43</v>
      </c>
      <c r="C19" t="s">
        <v>18</v>
      </c>
      <c r="D19" s="1" t="s">
        <v>2</v>
      </c>
      <c r="E19" t="s">
        <v>12</v>
      </c>
      <c r="F19" s="1">
        <v>19</v>
      </c>
      <c r="G19" s="2">
        <v>39.9</v>
      </c>
    </row>
    <row r="20" spans="2:7">
      <c r="B20" s="1" t="s">
        <v>44</v>
      </c>
      <c r="C20" t="s">
        <v>18</v>
      </c>
      <c r="D20" s="1" t="s">
        <v>3</v>
      </c>
      <c r="E20" t="s">
        <v>12</v>
      </c>
      <c r="F20" s="1">
        <v>37</v>
      </c>
      <c r="G20" s="2">
        <v>39.9</v>
      </c>
    </row>
    <row r="21" spans="2:7">
      <c r="B21" s="1" t="s">
        <v>45</v>
      </c>
      <c r="C21" t="s">
        <v>18</v>
      </c>
      <c r="D21" s="1" t="s">
        <v>4</v>
      </c>
      <c r="E21" t="s">
        <v>12</v>
      </c>
      <c r="F21" s="1">
        <v>16</v>
      </c>
      <c r="G21" s="2">
        <v>42.5</v>
      </c>
    </row>
    <row r="22" spans="2:7">
      <c r="B22" s="1" t="s">
        <v>46</v>
      </c>
      <c r="C22" t="s">
        <v>9</v>
      </c>
      <c r="D22" s="1" t="s">
        <v>2</v>
      </c>
      <c r="E22" t="s">
        <v>12</v>
      </c>
      <c r="F22" s="1">
        <v>43</v>
      </c>
      <c r="G22" s="2">
        <v>25.9</v>
      </c>
    </row>
    <row r="23" spans="2:7">
      <c r="B23" s="1" t="s">
        <v>47</v>
      </c>
      <c r="C23" t="s">
        <v>17</v>
      </c>
      <c r="D23" s="1" t="s">
        <v>3</v>
      </c>
      <c r="E23" t="s">
        <v>12</v>
      </c>
      <c r="F23" s="1">
        <v>46</v>
      </c>
      <c r="G23" s="2">
        <v>29.9</v>
      </c>
    </row>
    <row r="24" spans="2:7">
      <c r="B24" s="1" t="s">
        <v>48</v>
      </c>
      <c r="C24" t="s">
        <v>17</v>
      </c>
      <c r="D24" s="1" t="s">
        <v>4</v>
      </c>
      <c r="E24" t="s">
        <v>12</v>
      </c>
      <c r="F24" s="1">
        <v>0</v>
      </c>
      <c r="G24" s="2">
        <v>32.9</v>
      </c>
    </row>
    <row r="25" spans="2:7">
      <c r="B25" s="1" t="s">
        <v>49</v>
      </c>
      <c r="C25" t="s">
        <v>7</v>
      </c>
      <c r="D25" s="1" t="s">
        <v>8</v>
      </c>
      <c r="E25" t="s">
        <v>13</v>
      </c>
      <c r="F25" s="1">
        <v>2</v>
      </c>
      <c r="G25" s="2">
        <v>49.9</v>
      </c>
    </row>
    <row r="26" spans="2:7">
      <c r="B26" s="1" t="s">
        <v>50</v>
      </c>
      <c r="C26" t="s">
        <v>22</v>
      </c>
      <c r="D26" s="1" t="s">
        <v>2</v>
      </c>
      <c r="E26" t="s">
        <v>12</v>
      </c>
      <c r="F26" s="1">
        <v>34</v>
      </c>
      <c r="G26" s="2">
        <v>299.89999999999998</v>
      </c>
    </row>
    <row r="27" spans="2:7">
      <c r="B27" s="1" t="s">
        <v>51</v>
      </c>
      <c r="C27" t="s">
        <v>22</v>
      </c>
      <c r="D27" s="1" t="s">
        <v>3</v>
      </c>
      <c r="E27" t="s">
        <v>12</v>
      </c>
      <c r="F27" s="1">
        <v>34</v>
      </c>
      <c r="G27" s="2">
        <v>302.89999999999998</v>
      </c>
    </row>
    <row r="28" spans="2:7">
      <c r="B28" s="1" t="s">
        <v>52</v>
      </c>
      <c r="C28" t="s">
        <v>22</v>
      </c>
      <c r="D28" s="1" t="s">
        <v>4</v>
      </c>
      <c r="E28" t="s">
        <v>12</v>
      </c>
      <c r="F28" s="1">
        <v>35</v>
      </c>
      <c r="G28" s="2">
        <v>300</v>
      </c>
    </row>
    <row r="29" spans="2:7">
      <c r="B29" s="1" t="s">
        <v>53</v>
      </c>
      <c r="C29" t="s">
        <v>21</v>
      </c>
      <c r="D29" s="1" t="s">
        <v>2</v>
      </c>
      <c r="E29" t="s">
        <v>12</v>
      </c>
      <c r="F29" s="1">
        <v>49</v>
      </c>
      <c r="G29" s="2">
        <v>249.9</v>
      </c>
    </row>
    <row r="30" spans="2:7">
      <c r="B30" s="1" t="s">
        <v>54</v>
      </c>
      <c r="C30" t="s">
        <v>21</v>
      </c>
      <c r="D30" s="1" t="s">
        <v>3</v>
      </c>
      <c r="E30" t="s">
        <v>12</v>
      </c>
      <c r="F30" s="1">
        <v>16</v>
      </c>
      <c r="G30" s="2">
        <v>259.89999999999998</v>
      </c>
    </row>
    <row r="31" spans="2:7">
      <c r="B31" s="1" t="s">
        <v>55</v>
      </c>
      <c r="C31" t="s">
        <v>21</v>
      </c>
      <c r="D31" s="1" t="s">
        <v>4</v>
      </c>
      <c r="E31" t="s">
        <v>12</v>
      </c>
      <c r="F31" s="1">
        <v>41</v>
      </c>
      <c r="G31" s="2">
        <v>299.89999999999998</v>
      </c>
    </row>
    <row r="32" spans="2:7">
      <c r="B32" s="1" t="s">
        <v>56</v>
      </c>
      <c r="C32" t="s">
        <v>20</v>
      </c>
      <c r="D32" s="1" t="s">
        <v>8</v>
      </c>
      <c r="E32" t="s">
        <v>13</v>
      </c>
      <c r="F32" s="1">
        <v>32</v>
      </c>
      <c r="G32" s="2">
        <v>349.9</v>
      </c>
    </row>
    <row r="33" spans="2:7">
      <c r="B33" s="1" t="s">
        <v>57</v>
      </c>
      <c r="C33" t="s">
        <v>19</v>
      </c>
      <c r="D33" s="1" t="s">
        <v>8</v>
      </c>
      <c r="E33" t="s">
        <v>13</v>
      </c>
      <c r="F33" s="1">
        <v>45</v>
      </c>
      <c r="G33" s="2">
        <v>120</v>
      </c>
    </row>
    <row r="34" spans="2:7">
      <c r="B34" s="1" t="s">
        <v>58</v>
      </c>
      <c r="C34" t="s">
        <v>27</v>
      </c>
      <c r="D34" s="1">
        <v>36</v>
      </c>
      <c r="E34" t="s">
        <v>14</v>
      </c>
      <c r="F34" s="1">
        <v>37</v>
      </c>
      <c r="G34" s="2">
        <v>249.9</v>
      </c>
    </row>
    <row r="35" spans="2:7">
      <c r="B35" s="1" t="s">
        <v>59</v>
      </c>
      <c r="C35" t="s">
        <v>27</v>
      </c>
      <c r="D35" s="1">
        <v>37</v>
      </c>
      <c r="E35" t="s">
        <v>14</v>
      </c>
      <c r="F35" s="1">
        <v>41</v>
      </c>
      <c r="G35" s="2">
        <v>255</v>
      </c>
    </row>
    <row r="36" spans="2:7">
      <c r="B36" s="1" t="s">
        <v>60</v>
      </c>
      <c r="C36" t="s">
        <v>27</v>
      </c>
      <c r="D36" s="1">
        <v>38</v>
      </c>
      <c r="E36" t="s">
        <v>14</v>
      </c>
      <c r="F36" s="1">
        <v>30</v>
      </c>
      <c r="G36" s="2">
        <v>259.89999999999998</v>
      </c>
    </row>
    <row r="37" spans="2:7">
      <c r="B37" s="1" t="s">
        <v>61</v>
      </c>
      <c r="C37" t="s">
        <v>111</v>
      </c>
      <c r="D37" s="1">
        <v>36</v>
      </c>
      <c r="E37" t="s">
        <v>14</v>
      </c>
      <c r="F37" s="1">
        <v>27</v>
      </c>
      <c r="G37" s="2">
        <v>245</v>
      </c>
    </row>
    <row r="38" spans="2:7">
      <c r="B38" s="1" t="s">
        <v>62</v>
      </c>
      <c r="C38" t="s">
        <v>111</v>
      </c>
      <c r="D38" s="1">
        <v>37</v>
      </c>
      <c r="E38" t="s">
        <v>14</v>
      </c>
      <c r="F38" s="1">
        <v>41</v>
      </c>
      <c r="G38" s="2">
        <v>250</v>
      </c>
    </row>
    <row r="39" spans="2:7">
      <c r="B39" s="1" t="s">
        <v>63</v>
      </c>
      <c r="C39" t="s">
        <v>111</v>
      </c>
      <c r="D39" s="1">
        <v>38</v>
      </c>
      <c r="E39" t="s">
        <v>14</v>
      </c>
      <c r="F39" s="1">
        <v>43</v>
      </c>
      <c r="G39" s="2">
        <v>259.89999999999998</v>
      </c>
    </row>
    <row r="40" spans="2:7">
      <c r="B40" s="1" t="s">
        <v>64</v>
      </c>
      <c r="C40" t="s">
        <v>25</v>
      </c>
      <c r="D40" s="1" t="s">
        <v>2</v>
      </c>
      <c r="E40" t="s">
        <v>12</v>
      </c>
      <c r="F40" s="1">
        <v>43</v>
      </c>
      <c r="G40" s="2">
        <v>89.9</v>
      </c>
    </row>
    <row r="41" spans="2:7">
      <c r="B41" s="1" t="s">
        <v>65</v>
      </c>
      <c r="C41" t="s">
        <v>25</v>
      </c>
      <c r="D41" s="1" t="s">
        <v>3</v>
      </c>
      <c r="E41" t="s">
        <v>12</v>
      </c>
      <c r="F41" s="1">
        <v>18</v>
      </c>
      <c r="G41" s="2">
        <v>91.4</v>
      </c>
    </row>
    <row r="42" spans="2:7">
      <c r="B42" s="1" t="s">
        <v>66</v>
      </c>
      <c r="C42" t="s">
        <v>25</v>
      </c>
      <c r="D42" s="1" t="s">
        <v>4</v>
      </c>
      <c r="E42" t="s">
        <v>12</v>
      </c>
      <c r="F42" s="1">
        <v>45</v>
      </c>
      <c r="G42" s="2">
        <v>93.5</v>
      </c>
    </row>
    <row r="43" spans="2:7">
      <c r="B43" s="1" t="s">
        <v>67</v>
      </c>
      <c r="C43" t="s">
        <v>24</v>
      </c>
      <c r="D43" s="1" t="s">
        <v>2</v>
      </c>
      <c r="E43" t="s">
        <v>12</v>
      </c>
      <c r="F43" s="1">
        <v>34</v>
      </c>
      <c r="G43" s="2">
        <v>140</v>
      </c>
    </row>
    <row r="44" spans="2:7">
      <c r="B44" s="1" t="s">
        <v>68</v>
      </c>
      <c r="C44" t="s">
        <v>24</v>
      </c>
      <c r="D44" s="1" t="s">
        <v>3</v>
      </c>
      <c r="E44" t="s">
        <v>12</v>
      </c>
      <c r="F44" s="1">
        <v>47</v>
      </c>
      <c r="G44" s="2">
        <v>142.9</v>
      </c>
    </row>
    <row r="45" spans="2:7">
      <c r="B45" s="1" t="s">
        <v>69</v>
      </c>
      <c r="C45" t="s">
        <v>24</v>
      </c>
      <c r="D45" s="1" t="s">
        <v>4</v>
      </c>
      <c r="E45" t="s">
        <v>12</v>
      </c>
      <c r="F45" s="1">
        <v>50</v>
      </c>
      <c r="G45" s="2">
        <v>146</v>
      </c>
    </row>
    <row r="46" spans="2:7">
      <c r="B46" s="1" t="s">
        <v>83</v>
      </c>
      <c r="C46" t="s">
        <v>107</v>
      </c>
      <c r="D46" s="1" t="s">
        <v>2</v>
      </c>
      <c r="E46" t="s">
        <v>12</v>
      </c>
      <c r="F46" s="1">
        <v>16</v>
      </c>
      <c r="G46" s="8">
        <v>70</v>
      </c>
    </row>
    <row r="47" spans="2:7">
      <c r="B47" s="1" t="s">
        <v>84</v>
      </c>
      <c r="C47" t="s">
        <v>107</v>
      </c>
      <c r="D47" s="1" t="s">
        <v>3</v>
      </c>
      <c r="E47" t="s">
        <v>12</v>
      </c>
      <c r="F47" s="1">
        <v>21</v>
      </c>
      <c r="G47" s="8">
        <v>54.9</v>
      </c>
    </row>
    <row r="48" spans="2:7">
      <c r="B48" s="1" t="s">
        <v>85</v>
      </c>
      <c r="C48" t="s">
        <v>107</v>
      </c>
      <c r="D48" s="1" t="s">
        <v>4</v>
      </c>
      <c r="E48" t="s">
        <v>12</v>
      </c>
      <c r="F48" s="1">
        <v>43</v>
      </c>
      <c r="G48" s="8">
        <v>54.9</v>
      </c>
    </row>
    <row r="49" spans="2:7">
      <c r="B49" s="1" t="s">
        <v>86</v>
      </c>
      <c r="C49" t="s">
        <v>87</v>
      </c>
      <c r="D49" s="1" t="s">
        <v>2</v>
      </c>
      <c r="E49" t="s">
        <v>12</v>
      </c>
      <c r="F49" s="1">
        <v>43</v>
      </c>
      <c r="G49" s="8">
        <v>72.5</v>
      </c>
    </row>
    <row r="50" spans="2:7">
      <c r="B50" s="1" t="s">
        <v>88</v>
      </c>
      <c r="C50" t="s">
        <v>87</v>
      </c>
      <c r="D50" s="1" t="s">
        <v>3</v>
      </c>
      <c r="E50" t="s">
        <v>12</v>
      </c>
      <c r="F50" s="1">
        <v>41</v>
      </c>
      <c r="G50" s="8">
        <v>72.5</v>
      </c>
    </row>
    <row r="51" spans="2:7">
      <c r="B51" s="1" t="s">
        <v>89</v>
      </c>
      <c r="C51" t="s">
        <v>87</v>
      </c>
      <c r="D51" s="1" t="s">
        <v>4</v>
      </c>
      <c r="E51" t="s">
        <v>12</v>
      </c>
      <c r="F51" s="1">
        <v>49</v>
      </c>
      <c r="G51" s="8">
        <v>72.5</v>
      </c>
    </row>
    <row r="52" spans="2:7">
      <c r="B52" s="1" t="s">
        <v>90</v>
      </c>
      <c r="C52" t="s">
        <v>91</v>
      </c>
      <c r="D52" s="1" t="s">
        <v>2</v>
      </c>
      <c r="E52" t="s">
        <v>12</v>
      </c>
      <c r="F52" s="1">
        <v>15</v>
      </c>
      <c r="G52" s="8">
        <v>289.89999999999998</v>
      </c>
    </row>
    <row r="53" spans="2:7">
      <c r="B53" s="1" t="s">
        <v>92</v>
      </c>
      <c r="C53" t="s">
        <v>91</v>
      </c>
      <c r="D53" s="1" t="s">
        <v>3</v>
      </c>
      <c r="E53" t="s">
        <v>12</v>
      </c>
      <c r="F53" s="1">
        <v>10</v>
      </c>
      <c r="G53" s="8">
        <v>289.89999999999998</v>
      </c>
    </row>
    <row r="54" spans="2:7">
      <c r="B54" s="1" t="s">
        <v>93</v>
      </c>
      <c r="C54" t="s">
        <v>91</v>
      </c>
      <c r="D54" s="1" t="s">
        <v>4</v>
      </c>
      <c r="E54" t="s">
        <v>12</v>
      </c>
      <c r="F54" s="1">
        <v>21</v>
      </c>
      <c r="G54" s="8">
        <v>289.89999999999998</v>
      </c>
    </row>
    <row r="55" spans="2:7">
      <c r="B55" s="1" t="s">
        <v>94</v>
      </c>
      <c r="C55" t="s">
        <v>95</v>
      </c>
      <c r="D55" s="1" t="s">
        <v>2</v>
      </c>
      <c r="E55" t="s">
        <v>12</v>
      </c>
      <c r="F55" s="1">
        <v>8</v>
      </c>
      <c r="G55" s="8">
        <v>32.9</v>
      </c>
    </row>
    <row r="56" spans="2:7">
      <c r="B56" s="1" t="s">
        <v>96</v>
      </c>
      <c r="C56" t="s">
        <v>95</v>
      </c>
      <c r="D56" s="1" t="s">
        <v>3</v>
      </c>
      <c r="E56" t="s">
        <v>12</v>
      </c>
      <c r="F56" s="1">
        <v>42</v>
      </c>
      <c r="G56" s="8">
        <v>32.9</v>
      </c>
    </row>
    <row r="57" spans="2:7">
      <c r="B57" s="1" t="s">
        <v>97</v>
      </c>
      <c r="C57" t="s">
        <v>95</v>
      </c>
      <c r="D57" s="1" t="s">
        <v>4</v>
      </c>
      <c r="E57" t="s">
        <v>12</v>
      </c>
      <c r="F57" s="1">
        <v>48</v>
      </c>
      <c r="G57" s="8">
        <v>32.9</v>
      </c>
    </row>
    <row r="58" spans="2:7">
      <c r="B58" s="1" t="s">
        <v>98</v>
      </c>
      <c r="C58" t="s">
        <v>99</v>
      </c>
      <c r="D58" s="1" t="s">
        <v>2</v>
      </c>
      <c r="E58" t="s">
        <v>12</v>
      </c>
      <c r="F58" s="1">
        <v>35</v>
      </c>
      <c r="G58" s="8">
        <v>49.9</v>
      </c>
    </row>
    <row r="59" spans="2:7">
      <c r="B59" s="1" t="s">
        <v>100</v>
      </c>
      <c r="C59" t="s">
        <v>99</v>
      </c>
      <c r="D59" s="1" t="s">
        <v>3</v>
      </c>
      <c r="E59" t="s">
        <v>12</v>
      </c>
      <c r="F59" s="1">
        <v>40</v>
      </c>
      <c r="G59" s="8">
        <v>49.9</v>
      </c>
    </row>
    <row r="60" spans="2:7">
      <c r="B60" s="1" t="s">
        <v>101</v>
      </c>
      <c r="C60" t="s">
        <v>99</v>
      </c>
      <c r="D60" s="1" t="s">
        <v>4</v>
      </c>
      <c r="E60" t="s">
        <v>12</v>
      </c>
      <c r="F60" s="1">
        <v>18</v>
      </c>
      <c r="G60" s="8">
        <v>49.9</v>
      </c>
    </row>
    <row r="61" spans="2:7">
      <c r="B61" s="1" t="s">
        <v>102</v>
      </c>
      <c r="C61" t="s">
        <v>104</v>
      </c>
      <c r="D61" s="1">
        <v>35</v>
      </c>
      <c r="E61" t="s">
        <v>14</v>
      </c>
      <c r="F61" s="1">
        <v>48</v>
      </c>
      <c r="G61" s="8">
        <v>89.9</v>
      </c>
    </row>
    <row r="62" spans="2:7">
      <c r="B62" s="1" t="s">
        <v>103</v>
      </c>
      <c r="C62" t="s">
        <v>104</v>
      </c>
      <c r="D62" s="1">
        <v>36</v>
      </c>
      <c r="E62" t="s">
        <v>14</v>
      </c>
      <c r="F62" s="1">
        <v>38</v>
      </c>
      <c r="G62" s="2">
        <v>89.9</v>
      </c>
    </row>
    <row r="63" spans="2:7">
      <c r="B63" s="1" t="s">
        <v>105</v>
      </c>
      <c r="C63" t="s">
        <v>104</v>
      </c>
      <c r="D63" s="1">
        <v>37</v>
      </c>
      <c r="E63" t="s">
        <v>14</v>
      </c>
      <c r="F63" s="1">
        <v>45</v>
      </c>
      <c r="G63" s="2">
        <v>89.9</v>
      </c>
    </row>
    <row r="64" spans="2:7">
      <c r="B64" s="1" t="s">
        <v>106</v>
      </c>
      <c r="C64" t="s">
        <v>108</v>
      </c>
      <c r="D64" s="1" t="s">
        <v>2</v>
      </c>
      <c r="E64" t="s">
        <v>12</v>
      </c>
      <c r="F64" s="1">
        <v>40</v>
      </c>
      <c r="G64" s="2">
        <v>180</v>
      </c>
    </row>
    <row r="65" spans="2:7">
      <c r="B65" s="1" t="s">
        <v>109</v>
      </c>
      <c r="C65" t="s">
        <v>108</v>
      </c>
      <c r="D65" s="1" t="s">
        <v>3</v>
      </c>
      <c r="E65" t="s">
        <v>12</v>
      </c>
      <c r="F65" s="1">
        <v>35</v>
      </c>
      <c r="G65" s="2">
        <v>180</v>
      </c>
    </row>
    <row r="66" spans="2:7">
      <c r="B66" s="1" t="s">
        <v>110</v>
      </c>
      <c r="C66" t="s">
        <v>108</v>
      </c>
      <c r="D66" s="1" t="s">
        <v>4</v>
      </c>
      <c r="E66" t="s">
        <v>12</v>
      </c>
      <c r="F66" s="1">
        <v>35</v>
      </c>
      <c r="G66" s="2">
        <v>180</v>
      </c>
    </row>
  </sheetData>
  <phoneticPr fontId="11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B36B-A116-48A3-A416-7A80B429A8F5}">
  <dimension ref="A1:E9"/>
  <sheetViews>
    <sheetView workbookViewId="0">
      <pane ySplit="1" topLeftCell="A2" activePane="bottomLeft" state="frozen"/>
      <selection pane="bottomLeft" activeCell="A4" sqref="A4:D9"/>
    </sheetView>
  </sheetViews>
  <sheetFormatPr defaultRowHeight="15"/>
  <cols>
    <col min="1" max="1" width="14.7109375" bestFit="1" customWidth="1"/>
    <col min="2" max="2" width="27.5703125" customWidth="1"/>
    <col min="3" max="3" width="25.7109375" customWidth="1"/>
    <col min="4" max="4" width="22.140625" customWidth="1"/>
  </cols>
  <sheetData>
    <row r="1" spans="1:5" s="13" customFormat="1" ht="40.15" customHeight="1">
      <c r="A1" s="16"/>
      <c r="B1" s="104" t="s">
        <v>82</v>
      </c>
      <c r="C1" s="104"/>
      <c r="D1" s="18"/>
      <c r="E1" s="18"/>
    </row>
    <row r="2" spans="1:5" s="14" customFormat="1" ht="4.5" customHeight="1">
      <c r="A2" s="17"/>
      <c r="B2" s="17"/>
    </row>
    <row r="3" spans="1:5" ht="4.5" customHeight="1" thickBot="1">
      <c r="A3" s="15"/>
      <c r="B3" s="15"/>
    </row>
    <row r="4" spans="1:5" ht="21.75">
      <c r="A4" s="25" t="s">
        <v>30</v>
      </c>
      <c r="B4" s="31" t="s">
        <v>72</v>
      </c>
      <c r="C4" s="31" t="s">
        <v>132</v>
      </c>
      <c r="D4" s="26" t="s">
        <v>133</v>
      </c>
    </row>
    <row r="5" spans="1:5" ht="22.5" customHeight="1">
      <c r="A5" s="37" t="s">
        <v>113</v>
      </c>
      <c r="B5" s="30" t="s">
        <v>71</v>
      </c>
      <c r="C5" s="30" t="s">
        <v>134</v>
      </c>
      <c r="D5" s="40">
        <v>0.2</v>
      </c>
    </row>
    <row r="6" spans="1:5" ht="22.5" customHeight="1">
      <c r="A6" s="37" t="s">
        <v>114</v>
      </c>
      <c r="B6" s="30" t="s">
        <v>73</v>
      </c>
      <c r="C6" s="30" t="s">
        <v>135</v>
      </c>
      <c r="D6" s="40">
        <v>0.15</v>
      </c>
    </row>
    <row r="7" spans="1:5" ht="22.5" customHeight="1">
      <c r="A7" s="37" t="s">
        <v>115</v>
      </c>
      <c r="B7" s="30" t="s">
        <v>70</v>
      </c>
      <c r="C7" s="30" t="s">
        <v>136</v>
      </c>
      <c r="D7" s="40">
        <v>0.1</v>
      </c>
    </row>
    <row r="8" spans="1:5" ht="22.5" customHeight="1">
      <c r="A8" s="37" t="s">
        <v>116</v>
      </c>
      <c r="B8" s="30" t="s">
        <v>118</v>
      </c>
      <c r="C8" s="30" t="s">
        <v>137</v>
      </c>
      <c r="D8" s="40">
        <v>0.2</v>
      </c>
    </row>
    <row r="9" spans="1:5" ht="22.5" customHeight="1" thickBot="1">
      <c r="A9" s="38" t="s">
        <v>117</v>
      </c>
      <c r="B9" s="39" t="s">
        <v>119</v>
      </c>
      <c r="C9" s="39" t="s">
        <v>138</v>
      </c>
      <c r="D9" s="41">
        <v>0.15</v>
      </c>
    </row>
  </sheetData>
  <mergeCells count="1">
    <mergeCell ref="B1:C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4D44-0E29-4A7F-B47B-66AF094D5F9D}">
  <dimension ref="A1:M86"/>
  <sheetViews>
    <sheetView topLeftCell="B1" zoomScaleNormal="100" workbookViewId="0">
      <pane ySplit="1" topLeftCell="A2" activePane="bottomLeft" state="frozen"/>
      <selection activeCell="B1" sqref="B1"/>
      <selection pane="bottomLeft" activeCell="B7" sqref="B7"/>
    </sheetView>
  </sheetViews>
  <sheetFormatPr defaultRowHeight="15"/>
  <cols>
    <col min="1" max="1" width="8.85546875" style="1" hidden="1" customWidth="1"/>
    <col min="2" max="2" width="11.5703125" style="1" bestFit="1" customWidth="1"/>
    <col min="3" max="3" width="11.5703125" style="1" customWidth="1"/>
    <col min="4" max="4" width="16.7109375" style="1" customWidth="1"/>
    <col min="5" max="5" width="10.140625" bestFit="1" customWidth="1"/>
    <col min="6" max="6" width="18.7109375" customWidth="1"/>
    <col min="7" max="7" width="13.140625" bestFit="1" customWidth="1"/>
    <col min="8" max="9" width="16" customWidth="1"/>
    <col min="10" max="11" width="17" customWidth="1"/>
    <col min="12" max="12" width="20.28515625" customWidth="1"/>
    <col min="13" max="13" width="17" bestFit="1" customWidth="1"/>
  </cols>
  <sheetData>
    <row r="1" spans="1:13" s="13" customFormat="1" ht="40.15" customHeight="1">
      <c r="A1" s="16"/>
      <c r="B1" s="20" t="s">
        <v>121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s="14" customFormat="1" ht="4.5" customHeight="1">
      <c r="A2" s="17"/>
      <c r="B2" s="17"/>
      <c r="C2" s="17"/>
      <c r="D2" s="17"/>
      <c r="E2" s="17"/>
    </row>
    <row r="3" spans="1:13" ht="4.5" customHeight="1">
      <c r="A3" s="15"/>
      <c r="B3" s="15"/>
      <c r="C3" s="15"/>
      <c r="D3" s="15"/>
      <c r="E3" s="15"/>
    </row>
    <row r="4" spans="1:13" s="60" customFormat="1" ht="37.5">
      <c r="A4" s="57" t="s">
        <v>112</v>
      </c>
      <c r="B4" s="58" t="s">
        <v>74</v>
      </c>
      <c r="C4" s="58" t="s">
        <v>30</v>
      </c>
      <c r="D4" s="58" t="s">
        <v>10</v>
      </c>
      <c r="E4" s="58" t="s">
        <v>15</v>
      </c>
      <c r="F4" s="58" t="s">
        <v>11</v>
      </c>
      <c r="G4" s="58" t="s">
        <v>155</v>
      </c>
      <c r="H4" s="61" t="s">
        <v>156</v>
      </c>
      <c r="I4" s="61" t="s">
        <v>157</v>
      </c>
      <c r="J4" s="61" t="s">
        <v>158</v>
      </c>
      <c r="K4" s="58" t="s">
        <v>159</v>
      </c>
      <c r="L4" s="59" t="s">
        <v>16</v>
      </c>
      <c r="M4" s="58" t="s">
        <v>72</v>
      </c>
    </row>
    <row r="5" spans="1:13">
      <c r="A5" s="4">
        <f>MONTH(TB_Vendas[[#This Row],[Data]])</f>
        <v>1</v>
      </c>
      <c r="B5" s="3">
        <v>44931</v>
      </c>
      <c r="C5" s="4" t="s">
        <v>36</v>
      </c>
      <c r="D5" s="4" t="str">
        <f>_xlfn.XLOOKUP(TB_Vendas[[#This Row],[Código]],TB_Produtos[Código],TB_Produtos[Categoria])</f>
        <v>Acessórios</v>
      </c>
      <c r="E5" s="1">
        <v>1</v>
      </c>
      <c r="F5" s="7">
        <f>VLOOKUP(TB_Vendas[[#This Row],[Código]],Produtos!$B$6:$G$66,6,0)</f>
        <v>39.9</v>
      </c>
      <c r="G5" s="1">
        <f>_xlfn.XMATCH(TB_Vendas[[#This Row],[Categoria]],Desc_Categorias,0)</f>
        <v>2</v>
      </c>
      <c r="H5" s="43">
        <f>VLOOKUP(TB_Vendas[[#This Row],[Qtd]],Desc_TabelaToda,TB_Vendas[[#This Row],[Indice]],TRUE)</f>
        <v>0</v>
      </c>
      <c r="I5" s="43" cm="1">
        <f t="array" ref="I5">INDEX(Desc_TabelaToda,MATCH(TB_Vendas[[#This Row],[Qtd]],Desc_Quantidades,1),MATCH(_xlfn.XLOOKUP(TB_Vendas[[#This Row],[Código]],TB_Produtos[[#All],[Código]],TB_Produtos[[#All],[Categoria]]),Desc_Categorias,0))</f>
        <v>0</v>
      </c>
      <c r="J5" s="43">
        <f>_xlfn.XLOOKUP(TB_Vendas[[#This Row],[Vendedor]],Vendedores!$A$5:$A$9,Vendedores!$D$5:$D$9)</f>
        <v>0.15</v>
      </c>
      <c r="K5" s="43">
        <f>IF(TB_Vendas[[#This Row],[Desconto 
(Diretão)]]&lt;=TB_Vendas[[#This Row],[Desconto 
(Vendedor)]],TB_Vendas[[#This Row],[Desconto 
(Diretão)]],TB_Vendas[[#This Row],[Desconto 
(Vendedor)]])</f>
        <v>0</v>
      </c>
      <c r="L5" s="2">
        <f>TB_Vendas[[#This Row],[Preço Unitário]]*TB_Vendas[[#This Row],[Qtd]]</f>
        <v>39.9</v>
      </c>
      <c r="M5" s="1" t="s">
        <v>114</v>
      </c>
    </row>
    <row r="6" spans="1:13">
      <c r="A6" s="4">
        <f>MONTH(TB_Vendas[[#This Row],[Data]])</f>
        <v>1</v>
      </c>
      <c r="B6" s="3">
        <v>44932</v>
      </c>
      <c r="C6" s="4" t="s">
        <v>35</v>
      </c>
      <c r="D6" s="4" t="str">
        <f>_xlfn.XLOOKUP(TB_Vendas[[#This Row],[Código]],TB_Produtos[Código],TB_Produtos[Categoria])</f>
        <v>Acessórios</v>
      </c>
      <c r="E6" s="1">
        <v>1</v>
      </c>
      <c r="F6" s="7">
        <f>VLOOKUP(TB_Vendas[[#This Row],[Código]],Produtos!$B$6:$G$66,6,0)</f>
        <v>259.89999999999998</v>
      </c>
      <c r="G6" s="1">
        <f>_xlfn.XMATCH(TB_Vendas[[#This Row],[Categoria]],Desc_Categorias,0)</f>
        <v>2</v>
      </c>
      <c r="H6" s="43">
        <f>VLOOKUP(TB_Vendas[[#This Row],[Qtd]],Desc_TabelaToda,TB_Vendas[[#This Row],[Indice]],TRUE)</f>
        <v>0</v>
      </c>
      <c r="I6" s="43" cm="1">
        <f t="array" ref="I6">INDEX(Desc_TabelaToda,MATCH(TB_Vendas[[#This Row],[Qtd]],Desc_Quantidades,1),MATCH(_xlfn.XLOOKUP(TB_Vendas[[#This Row],[Código]],TB_Produtos[[#All],[Código]],TB_Produtos[[#All],[Categoria]]),Desc_Categorias,0))</f>
        <v>0</v>
      </c>
      <c r="J6" s="43">
        <f>_xlfn.XLOOKUP(TB_Vendas[[#This Row],[Vendedor]],Vendedores!$A$5:$A$9,Vendedores!$D$5:$D$9)</f>
        <v>0.15</v>
      </c>
      <c r="K6" s="43">
        <f>IF(TB_Vendas[[#This Row],[Desconto 
(Diretão)]]&lt;=TB_Vendas[[#This Row],[Desconto 
(Vendedor)]],TB_Vendas[[#This Row],[Desconto 
(Diretão)]],TB_Vendas[[#This Row],[Desconto 
(Vendedor)]])</f>
        <v>0</v>
      </c>
      <c r="L6" s="2">
        <f>TB_Vendas[[#This Row],[Preço Unitário]]*TB_Vendas[[#This Row],[Qtd]]</f>
        <v>259.89999999999998</v>
      </c>
      <c r="M6" s="1" t="s">
        <v>114</v>
      </c>
    </row>
    <row r="7" spans="1:13">
      <c r="A7" s="4">
        <f>MONTH(TB_Vendas[[#This Row],[Data]])</f>
        <v>1</v>
      </c>
      <c r="B7" s="3">
        <v>44933</v>
      </c>
      <c r="C7" s="4" t="s">
        <v>97</v>
      </c>
      <c r="D7" s="4" t="str">
        <f>_xlfn.XLOOKUP(TB_Vendas[[#This Row],[Código]],TB_Produtos[Código],TB_Produtos[Categoria])</f>
        <v>Vestuário</v>
      </c>
      <c r="E7" s="1">
        <v>2</v>
      </c>
      <c r="F7" s="7">
        <f>VLOOKUP(TB_Vendas[[#This Row],[Código]],Produtos!$B$6:$G$66,6,0)</f>
        <v>32.9</v>
      </c>
      <c r="G7" s="1">
        <f>_xlfn.XMATCH(TB_Vendas[[#This Row],[Categoria]],Desc_Categorias,0)</f>
        <v>3</v>
      </c>
      <c r="H7" s="43">
        <f>VLOOKUP(TB_Vendas[[#This Row],[Qtd]],Desc_TabelaToda,TB_Vendas[[#This Row],[Indice]],TRUE)</f>
        <v>0.15</v>
      </c>
      <c r="I7" s="43" cm="1">
        <f t="array" ref="I7">INDEX(Desc_TabelaToda,MATCH(TB_Vendas[[#This Row],[Qtd]],Desc_Quantidades,1),MATCH(_xlfn.XLOOKUP(TB_Vendas[[#This Row],[Código]],TB_Produtos[[#All],[Código]],TB_Produtos[[#All],[Categoria]]),Desc_Categorias,0))</f>
        <v>0.15</v>
      </c>
      <c r="J7" s="43">
        <f>_xlfn.XLOOKUP(TB_Vendas[[#This Row],[Vendedor]],Vendedores!$A$5:$A$9,Vendedores!$D$5:$D$9)</f>
        <v>0.2</v>
      </c>
      <c r="K7" s="43">
        <f>IF(TB_Vendas[[#This Row],[Desconto 
(Diretão)]]&lt;=TB_Vendas[[#This Row],[Desconto 
(Vendedor)]],TB_Vendas[[#This Row],[Desconto 
(Diretão)]],TB_Vendas[[#This Row],[Desconto 
(Vendedor)]])</f>
        <v>0.15</v>
      </c>
      <c r="L7" s="2">
        <f>TB_Vendas[[#This Row],[Preço Unitário]]*TB_Vendas[[#This Row],[Qtd]]</f>
        <v>65.8</v>
      </c>
      <c r="M7" s="1" t="s">
        <v>113</v>
      </c>
    </row>
    <row r="8" spans="1:13">
      <c r="A8" s="4">
        <f>MONTH(TB_Vendas[[#This Row],[Data]])</f>
        <v>1</v>
      </c>
      <c r="B8" s="3">
        <v>44938</v>
      </c>
      <c r="C8" s="4" t="s">
        <v>41</v>
      </c>
      <c r="D8" s="4" t="str">
        <f>_xlfn.XLOOKUP(TB_Vendas[[#This Row],[Código]],TB_Produtos[Código],TB_Produtos[Categoria])</f>
        <v>Vestuário</v>
      </c>
      <c r="E8" s="1">
        <v>1</v>
      </c>
      <c r="F8" s="7">
        <f>VLOOKUP(TB_Vendas[[#This Row],[Código]],Produtos!$B$6:$G$66,6,0)</f>
        <v>46.9</v>
      </c>
      <c r="G8" s="1">
        <f>_xlfn.XMATCH(TB_Vendas[[#This Row],[Categoria]],Desc_Categorias,0)</f>
        <v>3</v>
      </c>
      <c r="H8" s="43">
        <f>VLOOKUP(TB_Vendas[[#This Row],[Qtd]],Desc_TabelaToda,TB_Vendas[[#This Row],[Indice]],TRUE)</f>
        <v>0.1</v>
      </c>
      <c r="I8" s="43" cm="1">
        <f t="array" ref="I8">INDEX(Desc_TabelaToda,MATCH(TB_Vendas[[#This Row],[Qtd]],Desc_Quantidades,1),MATCH(_xlfn.XLOOKUP(TB_Vendas[[#This Row],[Código]],TB_Produtos[[#All],[Código]],TB_Produtos[[#All],[Categoria]]),Desc_Categorias,0))</f>
        <v>0.1</v>
      </c>
      <c r="J8" s="43">
        <f>_xlfn.XLOOKUP(TB_Vendas[[#This Row],[Vendedor]],Vendedores!$A$5:$A$9,Vendedores!$D$5:$D$9)</f>
        <v>0.15</v>
      </c>
      <c r="K8" s="43">
        <f>IF(TB_Vendas[[#This Row],[Desconto 
(Diretão)]]&lt;=TB_Vendas[[#This Row],[Desconto 
(Vendedor)]],TB_Vendas[[#This Row],[Desconto 
(Diretão)]],TB_Vendas[[#This Row],[Desconto 
(Vendedor)]])</f>
        <v>0.1</v>
      </c>
      <c r="L8" s="2">
        <f>TB_Vendas[[#This Row],[Preço Unitário]]*TB_Vendas[[#This Row],[Qtd]]</f>
        <v>46.9</v>
      </c>
      <c r="M8" s="1" t="s">
        <v>117</v>
      </c>
    </row>
    <row r="9" spans="1:13">
      <c r="A9" s="4">
        <f>MONTH(TB_Vendas[[#This Row],[Data]])</f>
        <v>1</v>
      </c>
      <c r="B9" s="3">
        <v>44939</v>
      </c>
      <c r="C9" s="4" t="s">
        <v>47</v>
      </c>
      <c r="D9" s="4" t="str">
        <f>_xlfn.XLOOKUP(TB_Vendas[[#This Row],[Código]],TB_Produtos[Código],TB_Produtos[Categoria])</f>
        <v>Vestuário</v>
      </c>
      <c r="E9" s="1">
        <v>1</v>
      </c>
      <c r="F9" s="7">
        <f>VLOOKUP(TB_Vendas[[#This Row],[Código]],Produtos!$B$6:$G$66,6,0)</f>
        <v>29.9</v>
      </c>
      <c r="G9" s="1">
        <f>_xlfn.XMATCH(TB_Vendas[[#This Row],[Categoria]],Desc_Categorias,0)</f>
        <v>3</v>
      </c>
      <c r="H9" s="43">
        <f>VLOOKUP(TB_Vendas[[#This Row],[Qtd]],Desc_TabelaToda,TB_Vendas[[#This Row],[Indice]],TRUE)</f>
        <v>0.1</v>
      </c>
      <c r="I9" s="43" cm="1">
        <f t="array" ref="I9">INDEX(Desc_TabelaToda,MATCH(TB_Vendas[[#This Row],[Qtd]],Desc_Quantidades,1),MATCH(_xlfn.XLOOKUP(TB_Vendas[[#This Row],[Código]],TB_Produtos[[#All],[Código]],TB_Produtos[[#All],[Categoria]]),Desc_Categorias,0))</f>
        <v>0.1</v>
      </c>
      <c r="J9" s="43">
        <f>_xlfn.XLOOKUP(TB_Vendas[[#This Row],[Vendedor]],Vendedores!$A$5:$A$9,Vendedores!$D$5:$D$9)</f>
        <v>0.15</v>
      </c>
      <c r="K9" s="43">
        <f>IF(TB_Vendas[[#This Row],[Desconto 
(Diretão)]]&lt;=TB_Vendas[[#This Row],[Desconto 
(Vendedor)]],TB_Vendas[[#This Row],[Desconto 
(Diretão)]],TB_Vendas[[#This Row],[Desconto 
(Vendedor)]])</f>
        <v>0.1</v>
      </c>
      <c r="L9" s="2">
        <f>TB_Vendas[[#This Row],[Preço Unitário]]*TB_Vendas[[#This Row],[Qtd]]</f>
        <v>29.9</v>
      </c>
      <c r="M9" s="1" t="s">
        <v>114</v>
      </c>
    </row>
    <row r="10" spans="1:13">
      <c r="A10" s="4">
        <f>MONTH(TB_Vendas[[#This Row],[Data]])</f>
        <v>1</v>
      </c>
      <c r="B10" s="3">
        <v>44943</v>
      </c>
      <c r="C10" s="4" t="s">
        <v>55</v>
      </c>
      <c r="D10" s="4" t="str">
        <f>_xlfn.XLOOKUP(TB_Vendas[[#This Row],[Código]],TB_Produtos[Código],TB_Produtos[Categoria])</f>
        <v>Vestuário</v>
      </c>
      <c r="E10" s="1">
        <v>1</v>
      </c>
      <c r="F10" s="7">
        <f>VLOOKUP(TB_Vendas[[#This Row],[Código]],Produtos!$B$6:$G$66,6,0)</f>
        <v>299.89999999999998</v>
      </c>
      <c r="G10" s="1">
        <f>_xlfn.XMATCH(TB_Vendas[[#This Row],[Categoria]],Desc_Categorias,0)</f>
        <v>3</v>
      </c>
      <c r="H10" s="43">
        <f>VLOOKUP(TB_Vendas[[#This Row],[Qtd]],Desc_TabelaToda,TB_Vendas[[#This Row],[Indice]],TRUE)</f>
        <v>0.1</v>
      </c>
      <c r="I10" s="43" cm="1">
        <f t="array" ref="I10">INDEX(Desc_TabelaToda,MATCH(TB_Vendas[[#This Row],[Qtd]],Desc_Quantidades,1),MATCH(_xlfn.XLOOKUP(TB_Vendas[[#This Row],[Código]],TB_Produtos[[#All],[Código]],TB_Produtos[[#All],[Categoria]]),Desc_Categorias,0))</f>
        <v>0.1</v>
      </c>
      <c r="J10" s="43">
        <f>_xlfn.XLOOKUP(TB_Vendas[[#This Row],[Vendedor]],Vendedores!$A$5:$A$9,Vendedores!$D$5:$D$9)</f>
        <v>0.15</v>
      </c>
      <c r="K10" s="43">
        <f>IF(TB_Vendas[[#This Row],[Desconto 
(Diretão)]]&lt;=TB_Vendas[[#This Row],[Desconto 
(Vendedor)]],TB_Vendas[[#This Row],[Desconto 
(Diretão)]],TB_Vendas[[#This Row],[Desconto 
(Vendedor)]])</f>
        <v>0.1</v>
      </c>
      <c r="L10" s="2">
        <f>TB_Vendas[[#This Row],[Preço Unitário]]*TB_Vendas[[#This Row],[Qtd]]</f>
        <v>299.89999999999998</v>
      </c>
      <c r="M10" s="1" t="s">
        <v>117</v>
      </c>
    </row>
    <row r="11" spans="1:13">
      <c r="A11" s="4">
        <f>MONTH(TB_Vendas[[#This Row],[Data]])</f>
        <v>1</v>
      </c>
      <c r="B11" s="3">
        <v>44949</v>
      </c>
      <c r="C11" s="4" t="s">
        <v>69</v>
      </c>
      <c r="D11" s="4" t="str">
        <f>_xlfn.XLOOKUP(TB_Vendas[[#This Row],[Código]],TB_Produtos[Código],TB_Produtos[Categoria])</f>
        <v>Vestuário</v>
      </c>
      <c r="E11" s="1">
        <v>1</v>
      </c>
      <c r="F11" s="7">
        <f>VLOOKUP(TB_Vendas[[#This Row],[Código]],Produtos!$B$6:$G$66,6,0)</f>
        <v>146</v>
      </c>
      <c r="G11" s="1">
        <f>_xlfn.XMATCH(TB_Vendas[[#This Row],[Categoria]],Desc_Categorias,0)</f>
        <v>3</v>
      </c>
      <c r="H11" s="43">
        <f>VLOOKUP(TB_Vendas[[#This Row],[Qtd]],Desc_TabelaToda,TB_Vendas[[#This Row],[Indice]],TRUE)</f>
        <v>0.1</v>
      </c>
      <c r="I11" s="43" cm="1">
        <f t="array" ref="I11">INDEX(Desc_TabelaToda,MATCH(TB_Vendas[[#This Row],[Qtd]],Desc_Quantidades,1),MATCH(_xlfn.XLOOKUP(TB_Vendas[[#This Row],[Código]],TB_Produtos[[#All],[Código]],TB_Produtos[[#All],[Categoria]]),Desc_Categorias,0))</f>
        <v>0.1</v>
      </c>
      <c r="J11" s="43">
        <f>_xlfn.XLOOKUP(TB_Vendas[[#This Row],[Vendedor]],Vendedores!$A$5:$A$9,Vendedores!$D$5:$D$9)</f>
        <v>0.1</v>
      </c>
      <c r="K11" s="43">
        <f>IF(TB_Vendas[[#This Row],[Desconto 
(Diretão)]]&lt;=TB_Vendas[[#This Row],[Desconto 
(Vendedor)]],TB_Vendas[[#This Row],[Desconto 
(Diretão)]],TB_Vendas[[#This Row],[Desconto 
(Vendedor)]])</f>
        <v>0.1</v>
      </c>
      <c r="L11" s="2">
        <f>TB_Vendas[[#This Row],[Preço Unitário]]*TB_Vendas[[#This Row],[Qtd]]</f>
        <v>146</v>
      </c>
      <c r="M11" s="1" t="s">
        <v>115</v>
      </c>
    </row>
    <row r="12" spans="1:13">
      <c r="A12" s="4">
        <f>MONTH(TB_Vendas[[#This Row],[Data]])</f>
        <v>1</v>
      </c>
      <c r="B12" s="3">
        <v>44952</v>
      </c>
      <c r="C12" s="4" t="s">
        <v>64</v>
      </c>
      <c r="D12" s="4" t="str">
        <f>_xlfn.XLOOKUP(TB_Vendas[[#This Row],[Código]],TB_Produtos[Código],TB_Produtos[Categoria])</f>
        <v>Vestuário</v>
      </c>
      <c r="E12" s="1">
        <v>2</v>
      </c>
      <c r="F12" s="7">
        <f>VLOOKUP(TB_Vendas[[#This Row],[Código]],Produtos!$B$6:$G$66,6,0)</f>
        <v>89.9</v>
      </c>
      <c r="G12" s="1">
        <f>_xlfn.XMATCH(TB_Vendas[[#This Row],[Categoria]],Desc_Categorias,0)</f>
        <v>3</v>
      </c>
      <c r="H12" s="43">
        <f>VLOOKUP(TB_Vendas[[#This Row],[Qtd]],Desc_TabelaToda,TB_Vendas[[#This Row],[Indice]],TRUE)</f>
        <v>0.15</v>
      </c>
      <c r="I12" s="43" cm="1">
        <f t="array" ref="I12">INDEX(Desc_TabelaToda,MATCH(TB_Vendas[[#This Row],[Qtd]],Desc_Quantidades,1),MATCH(_xlfn.XLOOKUP(TB_Vendas[[#This Row],[Código]],TB_Produtos[[#All],[Código]],TB_Produtos[[#All],[Categoria]]),Desc_Categorias,0))</f>
        <v>0.15</v>
      </c>
      <c r="J12" s="43">
        <f>_xlfn.XLOOKUP(TB_Vendas[[#This Row],[Vendedor]],Vendedores!$A$5:$A$9,Vendedores!$D$5:$D$9)</f>
        <v>0.1</v>
      </c>
      <c r="K12" s="43">
        <f>IF(TB_Vendas[[#This Row],[Desconto 
(Diretão)]]&lt;=TB_Vendas[[#This Row],[Desconto 
(Vendedor)]],TB_Vendas[[#This Row],[Desconto 
(Diretão)]],TB_Vendas[[#This Row],[Desconto 
(Vendedor)]])</f>
        <v>0.1</v>
      </c>
      <c r="L12" s="2">
        <f>TB_Vendas[[#This Row],[Preço Unitário]]*TB_Vendas[[#This Row],[Qtd]]</f>
        <v>179.8</v>
      </c>
      <c r="M12" s="1" t="s">
        <v>115</v>
      </c>
    </row>
    <row r="13" spans="1:13">
      <c r="A13" s="4">
        <f>MONTH(TB_Vendas[[#This Row],[Data]])</f>
        <v>1</v>
      </c>
      <c r="B13" s="3">
        <v>44954</v>
      </c>
      <c r="C13" s="4" t="s">
        <v>62</v>
      </c>
      <c r="D13" s="4" t="str">
        <f>_xlfn.XLOOKUP(TB_Vendas[[#This Row],[Código]],TB_Produtos[Código],TB_Produtos[Categoria])</f>
        <v>Calçado</v>
      </c>
      <c r="E13" s="1">
        <v>2</v>
      </c>
      <c r="F13" s="7">
        <f>VLOOKUP(TB_Vendas[[#This Row],[Código]],Produtos!$B$6:$G$66,6,0)</f>
        <v>250</v>
      </c>
      <c r="G13" s="1">
        <f>_xlfn.XMATCH(TB_Vendas[[#This Row],[Categoria]],Desc_Categorias,0)</f>
        <v>4</v>
      </c>
      <c r="H13" s="43">
        <f>VLOOKUP(TB_Vendas[[#This Row],[Qtd]],Desc_TabelaToda,TB_Vendas[[#This Row],[Indice]],TRUE)</f>
        <v>0.1</v>
      </c>
      <c r="I13" s="43" cm="1">
        <f t="array" ref="I13">INDEX(Desc_TabelaToda,MATCH(TB_Vendas[[#This Row],[Qtd]],Desc_Quantidades,1),MATCH(_xlfn.XLOOKUP(TB_Vendas[[#This Row],[Código]],TB_Produtos[[#All],[Código]],TB_Produtos[[#All],[Categoria]]),Desc_Categorias,0))</f>
        <v>0.1</v>
      </c>
      <c r="J13" s="43">
        <f>_xlfn.XLOOKUP(TB_Vendas[[#This Row],[Vendedor]],Vendedores!$A$5:$A$9,Vendedores!$D$5:$D$9)</f>
        <v>0.15</v>
      </c>
      <c r="K13" s="43">
        <f>IF(TB_Vendas[[#This Row],[Desconto 
(Diretão)]]&lt;=TB_Vendas[[#This Row],[Desconto 
(Vendedor)]],TB_Vendas[[#This Row],[Desconto 
(Diretão)]],TB_Vendas[[#This Row],[Desconto 
(Vendedor)]])</f>
        <v>0.1</v>
      </c>
      <c r="L13" s="2">
        <f>TB_Vendas[[#This Row],[Preço Unitário]]*TB_Vendas[[#This Row],[Qtd]]</f>
        <v>500</v>
      </c>
      <c r="M13" s="1" t="s">
        <v>114</v>
      </c>
    </row>
    <row r="14" spans="1:13">
      <c r="A14" s="4">
        <f>MONTH(TB_Vendas[[#This Row],[Data]])</f>
        <v>1</v>
      </c>
      <c r="B14" s="3">
        <v>44955</v>
      </c>
      <c r="C14" s="4" t="s">
        <v>43</v>
      </c>
      <c r="D14" s="4" t="str">
        <f>_xlfn.XLOOKUP(TB_Vendas[[#This Row],[Código]],TB_Produtos[Código],TB_Produtos[Categoria])</f>
        <v>Vestuário</v>
      </c>
      <c r="E14" s="1">
        <v>1</v>
      </c>
      <c r="F14" s="7">
        <f>VLOOKUP(TB_Vendas[[#This Row],[Código]],Produtos!$B$6:$G$66,6,0)</f>
        <v>39.9</v>
      </c>
      <c r="G14" s="1">
        <f>_xlfn.XMATCH(TB_Vendas[[#This Row],[Categoria]],Desc_Categorias,0)</f>
        <v>3</v>
      </c>
      <c r="H14" s="43">
        <f>VLOOKUP(TB_Vendas[[#This Row],[Qtd]],Desc_TabelaToda,TB_Vendas[[#This Row],[Indice]],TRUE)</f>
        <v>0.1</v>
      </c>
      <c r="I14" s="43" cm="1">
        <f t="array" ref="I14">INDEX(Desc_TabelaToda,MATCH(TB_Vendas[[#This Row],[Qtd]],Desc_Quantidades,1),MATCH(_xlfn.XLOOKUP(TB_Vendas[[#This Row],[Código]],TB_Produtos[[#All],[Código]],TB_Produtos[[#All],[Categoria]]),Desc_Categorias,0))</f>
        <v>0.1</v>
      </c>
      <c r="J14" s="43">
        <f>_xlfn.XLOOKUP(TB_Vendas[[#This Row],[Vendedor]],Vendedores!$A$5:$A$9,Vendedores!$D$5:$D$9)</f>
        <v>0.15</v>
      </c>
      <c r="K14" s="43">
        <f>IF(TB_Vendas[[#This Row],[Desconto 
(Diretão)]]&lt;=TB_Vendas[[#This Row],[Desconto 
(Vendedor)]],TB_Vendas[[#This Row],[Desconto 
(Diretão)]],TB_Vendas[[#This Row],[Desconto 
(Vendedor)]])</f>
        <v>0.1</v>
      </c>
      <c r="L14" s="2">
        <f>TB_Vendas[[#This Row],[Preço Unitário]]*TB_Vendas[[#This Row],[Qtd]]</f>
        <v>39.9</v>
      </c>
      <c r="M14" s="1" t="s">
        <v>114</v>
      </c>
    </row>
    <row r="15" spans="1:13">
      <c r="A15" s="4">
        <f>MONTH(TB_Vendas[[#This Row],[Data]])</f>
        <v>1</v>
      </c>
      <c r="B15" s="3">
        <v>44956</v>
      </c>
      <c r="C15" s="4" t="s">
        <v>68</v>
      </c>
      <c r="D15" s="4" t="str">
        <f>_xlfn.XLOOKUP(TB_Vendas[[#This Row],[Código]],TB_Produtos[Código],TB_Produtos[Categoria])</f>
        <v>Vestuário</v>
      </c>
      <c r="E15" s="1">
        <v>1</v>
      </c>
      <c r="F15" s="7">
        <f>VLOOKUP(TB_Vendas[[#This Row],[Código]],Produtos!$B$6:$G$66,6,0)</f>
        <v>142.9</v>
      </c>
      <c r="G15" s="1">
        <f>_xlfn.XMATCH(TB_Vendas[[#This Row],[Categoria]],Desc_Categorias,0)</f>
        <v>3</v>
      </c>
      <c r="H15" s="43">
        <f>VLOOKUP(TB_Vendas[[#This Row],[Qtd]],Desc_TabelaToda,TB_Vendas[[#This Row],[Indice]],TRUE)</f>
        <v>0.1</v>
      </c>
      <c r="I15" s="43" cm="1">
        <f t="array" ref="I15">INDEX(Desc_TabelaToda,MATCH(TB_Vendas[[#This Row],[Qtd]],Desc_Quantidades,1),MATCH(_xlfn.XLOOKUP(TB_Vendas[[#This Row],[Código]],TB_Produtos[[#All],[Código]],TB_Produtos[[#All],[Categoria]]),Desc_Categorias,0))</f>
        <v>0.1</v>
      </c>
      <c r="J15" s="43">
        <f>_xlfn.XLOOKUP(TB_Vendas[[#This Row],[Vendedor]],Vendedores!$A$5:$A$9,Vendedores!$D$5:$D$9)</f>
        <v>0.2</v>
      </c>
      <c r="K15" s="43">
        <f>IF(TB_Vendas[[#This Row],[Desconto 
(Diretão)]]&lt;=TB_Vendas[[#This Row],[Desconto 
(Vendedor)]],TB_Vendas[[#This Row],[Desconto 
(Diretão)]],TB_Vendas[[#This Row],[Desconto 
(Vendedor)]])</f>
        <v>0.1</v>
      </c>
      <c r="L15" s="2">
        <f>TB_Vendas[[#This Row],[Preço Unitário]]*TB_Vendas[[#This Row],[Qtd]]</f>
        <v>142.9</v>
      </c>
      <c r="M15" s="1" t="s">
        <v>116</v>
      </c>
    </row>
    <row r="16" spans="1:13">
      <c r="A16" s="4">
        <f>MONTH(TB_Vendas[[#This Row],[Data]])</f>
        <v>2</v>
      </c>
      <c r="B16" s="3">
        <v>44960</v>
      </c>
      <c r="C16" s="4" t="s">
        <v>52</v>
      </c>
      <c r="D16" s="4" t="str">
        <f>_xlfn.XLOOKUP(TB_Vendas[[#This Row],[Código]],TB_Produtos[Código],TB_Produtos[Categoria])</f>
        <v>Vestuário</v>
      </c>
      <c r="E16" s="1">
        <v>1</v>
      </c>
      <c r="F16" s="7">
        <f>VLOOKUP(TB_Vendas[[#This Row],[Código]],Produtos!$B$6:$G$66,6,0)</f>
        <v>300</v>
      </c>
      <c r="G16" s="1">
        <f>_xlfn.XMATCH(TB_Vendas[[#This Row],[Categoria]],Desc_Categorias,0)</f>
        <v>3</v>
      </c>
      <c r="H16" s="43">
        <f>VLOOKUP(TB_Vendas[[#This Row],[Qtd]],Desc_TabelaToda,TB_Vendas[[#This Row],[Indice]],TRUE)</f>
        <v>0.1</v>
      </c>
      <c r="I16" s="43" cm="1">
        <f t="array" ref="I16">INDEX(Desc_TabelaToda,MATCH(TB_Vendas[[#This Row],[Qtd]],Desc_Quantidades,1),MATCH(_xlfn.XLOOKUP(TB_Vendas[[#This Row],[Código]],TB_Produtos[[#All],[Código]],TB_Produtos[[#All],[Categoria]]),Desc_Categorias,0))</f>
        <v>0.1</v>
      </c>
      <c r="J16" s="43">
        <f>_xlfn.XLOOKUP(TB_Vendas[[#This Row],[Vendedor]],Vendedores!$A$5:$A$9,Vendedores!$D$5:$D$9)</f>
        <v>0.1</v>
      </c>
      <c r="K16" s="43">
        <f>IF(TB_Vendas[[#This Row],[Desconto 
(Diretão)]]&lt;=TB_Vendas[[#This Row],[Desconto 
(Vendedor)]],TB_Vendas[[#This Row],[Desconto 
(Diretão)]],TB_Vendas[[#This Row],[Desconto 
(Vendedor)]])</f>
        <v>0.1</v>
      </c>
      <c r="L16" s="2">
        <f>TB_Vendas[[#This Row],[Preço Unitário]]*TB_Vendas[[#This Row],[Qtd]]</f>
        <v>300</v>
      </c>
      <c r="M16" s="1" t="s">
        <v>115</v>
      </c>
    </row>
    <row r="17" spans="1:13">
      <c r="A17" s="4">
        <f>MONTH(TB_Vendas[[#This Row],[Data]])</f>
        <v>2</v>
      </c>
      <c r="B17" s="3">
        <v>44962</v>
      </c>
      <c r="C17" s="4" t="s">
        <v>93</v>
      </c>
      <c r="D17" s="4" t="str">
        <f>_xlfn.XLOOKUP(TB_Vendas[[#This Row],[Código]],TB_Produtos[Código],TB_Produtos[Categoria])</f>
        <v>Vestuário</v>
      </c>
      <c r="E17" s="1">
        <v>2</v>
      </c>
      <c r="F17" s="7">
        <f>VLOOKUP(TB_Vendas[[#This Row],[Código]],Produtos!$B$6:$G$66,6,0)</f>
        <v>289.89999999999998</v>
      </c>
      <c r="G17" s="1">
        <f>_xlfn.XMATCH(TB_Vendas[[#This Row],[Categoria]],Desc_Categorias,0)</f>
        <v>3</v>
      </c>
      <c r="H17" s="43">
        <f>VLOOKUP(TB_Vendas[[#This Row],[Qtd]],Desc_TabelaToda,TB_Vendas[[#This Row],[Indice]],TRUE)</f>
        <v>0.15</v>
      </c>
      <c r="I17" s="43" cm="1">
        <f t="array" ref="I17">INDEX(Desc_TabelaToda,MATCH(TB_Vendas[[#This Row],[Qtd]],Desc_Quantidades,1),MATCH(_xlfn.XLOOKUP(TB_Vendas[[#This Row],[Código]],TB_Produtos[[#All],[Código]],TB_Produtos[[#All],[Categoria]]),Desc_Categorias,0))</f>
        <v>0.15</v>
      </c>
      <c r="J17" s="43">
        <f>_xlfn.XLOOKUP(TB_Vendas[[#This Row],[Vendedor]],Vendedores!$A$5:$A$9,Vendedores!$D$5:$D$9)</f>
        <v>0.2</v>
      </c>
      <c r="K17" s="43">
        <f>IF(TB_Vendas[[#This Row],[Desconto 
(Diretão)]]&lt;=TB_Vendas[[#This Row],[Desconto 
(Vendedor)]],TB_Vendas[[#This Row],[Desconto 
(Diretão)]],TB_Vendas[[#This Row],[Desconto 
(Vendedor)]])</f>
        <v>0.15</v>
      </c>
      <c r="L17" s="2">
        <f>TB_Vendas[[#This Row],[Preço Unitário]]*TB_Vendas[[#This Row],[Qtd]]</f>
        <v>579.79999999999995</v>
      </c>
      <c r="M17" s="1" t="s">
        <v>116</v>
      </c>
    </row>
    <row r="18" spans="1:13">
      <c r="A18" s="4">
        <f>MONTH(TB_Vendas[[#This Row],[Data]])</f>
        <v>2</v>
      </c>
      <c r="B18" s="3">
        <v>44975</v>
      </c>
      <c r="C18" s="4" t="s">
        <v>58</v>
      </c>
      <c r="D18" s="4" t="str">
        <f>_xlfn.XLOOKUP(TB_Vendas[[#This Row],[Código]],TB_Produtos[Código],TB_Produtos[Categoria])</f>
        <v>Calçado</v>
      </c>
      <c r="E18" s="1">
        <v>1</v>
      </c>
      <c r="F18" s="7">
        <f>VLOOKUP(TB_Vendas[[#This Row],[Código]],Produtos!$B$6:$G$66,6,0)</f>
        <v>249.9</v>
      </c>
      <c r="G18" s="1">
        <f>_xlfn.XMATCH(TB_Vendas[[#This Row],[Categoria]],Desc_Categorias,0)</f>
        <v>4</v>
      </c>
      <c r="H18" s="43">
        <f>VLOOKUP(TB_Vendas[[#This Row],[Qtd]],Desc_TabelaToda,TB_Vendas[[#This Row],[Indice]],TRUE)</f>
        <v>0</v>
      </c>
      <c r="I18" s="43" cm="1">
        <f t="array" ref="I18">INDEX(Desc_TabelaToda,MATCH(TB_Vendas[[#This Row],[Qtd]],Desc_Quantidades,1),MATCH(_xlfn.XLOOKUP(TB_Vendas[[#This Row],[Código]],TB_Produtos[[#All],[Código]],TB_Produtos[[#All],[Categoria]]),Desc_Categorias,0))</f>
        <v>0</v>
      </c>
      <c r="J18" s="43">
        <f>_xlfn.XLOOKUP(TB_Vendas[[#This Row],[Vendedor]],Vendedores!$A$5:$A$9,Vendedores!$D$5:$D$9)</f>
        <v>0.2</v>
      </c>
      <c r="K18" s="43">
        <f>IF(TB_Vendas[[#This Row],[Desconto 
(Diretão)]]&lt;=TB_Vendas[[#This Row],[Desconto 
(Vendedor)]],TB_Vendas[[#This Row],[Desconto 
(Diretão)]],TB_Vendas[[#This Row],[Desconto 
(Vendedor)]])</f>
        <v>0</v>
      </c>
      <c r="L18" s="2">
        <f>TB_Vendas[[#This Row],[Preço Unitário]]*TB_Vendas[[#This Row],[Qtd]]</f>
        <v>249.9</v>
      </c>
      <c r="M18" s="1" t="s">
        <v>116</v>
      </c>
    </row>
    <row r="19" spans="1:13">
      <c r="A19" s="4">
        <f>MONTH(TB_Vendas[[#This Row],[Data]])</f>
        <v>2</v>
      </c>
      <c r="B19" s="3">
        <v>44978</v>
      </c>
      <c r="C19" s="4" t="s">
        <v>43</v>
      </c>
      <c r="D19" s="4" t="str">
        <f>_xlfn.XLOOKUP(TB_Vendas[[#This Row],[Código]],TB_Produtos[Código],TB_Produtos[Categoria])</f>
        <v>Vestuário</v>
      </c>
      <c r="E19" s="1">
        <v>2</v>
      </c>
      <c r="F19" s="7">
        <f>VLOOKUP(TB_Vendas[[#This Row],[Código]],Produtos!$B$6:$G$66,6,0)</f>
        <v>39.9</v>
      </c>
      <c r="G19" s="1">
        <f>_xlfn.XMATCH(TB_Vendas[[#This Row],[Categoria]],Desc_Categorias,0)</f>
        <v>3</v>
      </c>
      <c r="H19" s="43">
        <f>VLOOKUP(TB_Vendas[[#This Row],[Qtd]],Desc_TabelaToda,TB_Vendas[[#This Row],[Indice]],TRUE)</f>
        <v>0.15</v>
      </c>
      <c r="I19" s="43" cm="1">
        <f t="array" ref="I19">INDEX(Desc_TabelaToda,MATCH(TB_Vendas[[#This Row],[Qtd]],Desc_Quantidades,1),MATCH(_xlfn.XLOOKUP(TB_Vendas[[#This Row],[Código]],TB_Produtos[[#All],[Código]],TB_Produtos[[#All],[Categoria]]),Desc_Categorias,0))</f>
        <v>0.15</v>
      </c>
      <c r="J19" s="43">
        <f>_xlfn.XLOOKUP(TB_Vendas[[#This Row],[Vendedor]],Vendedores!$A$5:$A$9,Vendedores!$D$5:$D$9)</f>
        <v>0.2</v>
      </c>
      <c r="K19" s="43">
        <f>IF(TB_Vendas[[#This Row],[Desconto 
(Diretão)]]&lt;=TB_Vendas[[#This Row],[Desconto 
(Vendedor)]],TB_Vendas[[#This Row],[Desconto 
(Diretão)]],TB_Vendas[[#This Row],[Desconto 
(Vendedor)]])</f>
        <v>0.15</v>
      </c>
      <c r="L19" s="2">
        <f>TB_Vendas[[#This Row],[Preço Unitário]]*TB_Vendas[[#This Row],[Qtd]]</f>
        <v>79.8</v>
      </c>
      <c r="M19" s="1" t="s">
        <v>116</v>
      </c>
    </row>
    <row r="20" spans="1:13">
      <c r="A20" s="4">
        <f>MONTH(TB_Vendas[[#This Row],[Data]])</f>
        <v>2</v>
      </c>
      <c r="B20" s="3">
        <v>44981</v>
      </c>
      <c r="C20" s="4" t="s">
        <v>90</v>
      </c>
      <c r="D20" s="4" t="str">
        <f>_xlfn.XLOOKUP(TB_Vendas[[#This Row],[Código]],TB_Produtos[Código],TB_Produtos[Categoria])</f>
        <v>Vestuário</v>
      </c>
      <c r="E20" s="1">
        <v>4</v>
      </c>
      <c r="F20" s="7">
        <f>VLOOKUP(TB_Vendas[[#This Row],[Código]],Produtos!$B$6:$G$66,6,0)</f>
        <v>289.89999999999998</v>
      </c>
      <c r="G20" s="1">
        <f>_xlfn.XMATCH(TB_Vendas[[#This Row],[Categoria]],Desc_Categorias,0)</f>
        <v>3</v>
      </c>
      <c r="H20" s="43">
        <f>VLOOKUP(TB_Vendas[[#This Row],[Qtd]],Desc_TabelaToda,TB_Vendas[[#This Row],[Indice]],TRUE)</f>
        <v>0.2</v>
      </c>
      <c r="I20" s="43" cm="1">
        <f t="array" ref="I20">INDEX(Desc_TabelaToda,MATCH(TB_Vendas[[#This Row],[Qtd]],Desc_Quantidades,1),MATCH(_xlfn.XLOOKUP(TB_Vendas[[#This Row],[Código]],TB_Produtos[[#All],[Código]],TB_Produtos[[#All],[Categoria]]),Desc_Categorias,0))</f>
        <v>0.2</v>
      </c>
      <c r="J20" s="43">
        <f>_xlfn.XLOOKUP(TB_Vendas[[#This Row],[Vendedor]],Vendedores!$A$5:$A$9,Vendedores!$D$5:$D$9)</f>
        <v>0.2</v>
      </c>
      <c r="K20" s="43">
        <f>IF(TB_Vendas[[#This Row],[Desconto 
(Diretão)]]&lt;=TB_Vendas[[#This Row],[Desconto 
(Vendedor)]],TB_Vendas[[#This Row],[Desconto 
(Diretão)]],TB_Vendas[[#This Row],[Desconto 
(Vendedor)]])</f>
        <v>0.2</v>
      </c>
      <c r="L20" s="2">
        <f>TB_Vendas[[#This Row],[Preço Unitário]]*TB_Vendas[[#This Row],[Qtd]]</f>
        <v>1159.5999999999999</v>
      </c>
      <c r="M20" s="1" t="s">
        <v>116</v>
      </c>
    </row>
    <row r="21" spans="1:13">
      <c r="A21" s="4">
        <f>MONTH(TB_Vendas[[#This Row],[Data]])</f>
        <v>2</v>
      </c>
      <c r="B21" s="3">
        <v>44982</v>
      </c>
      <c r="C21" s="4" t="s">
        <v>110</v>
      </c>
      <c r="D21" s="4" t="str">
        <f>_xlfn.XLOOKUP(TB_Vendas[[#This Row],[Código]],TB_Produtos[Código],TB_Produtos[Categoria])</f>
        <v>Vestuário</v>
      </c>
      <c r="E21" s="1">
        <v>3</v>
      </c>
      <c r="F21" s="7">
        <f>VLOOKUP(TB_Vendas[[#This Row],[Código]],Produtos!$B$6:$G$66,6,0)</f>
        <v>180</v>
      </c>
      <c r="G21" s="1">
        <f>_xlfn.XMATCH(TB_Vendas[[#This Row],[Categoria]],Desc_Categorias,0)</f>
        <v>3</v>
      </c>
      <c r="H21" s="43">
        <f>VLOOKUP(TB_Vendas[[#This Row],[Qtd]],Desc_TabelaToda,TB_Vendas[[#This Row],[Indice]],TRUE)</f>
        <v>0.2</v>
      </c>
      <c r="I21" s="43" cm="1">
        <f t="array" ref="I21">INDEX(Desc_TabelaToda,MATCH(TB_Vendas[[#This Row],[Qtd]],Desc_Quantidades,1),MATCH(_xlfn.XLOOKUP(TB_Vendas[[#This Row],[Código]],TB_Produtos[[#All],[Código]],TB_Produtos[[#All],[Categoria]]),Desc_Categorias,0))</f>
        <v>0.2</v>
      </c>
      <c r="J21" s="43">
        <f>_xlfn.XLOOKUP(TB_Vendas[[#This Row],[Vendedor]],Vendedores!$A$5:$A$9,Vendedores!$D$5:$D$9)</f>
        <v>0.15</v>
      </c>
      <c r="K21" s="43">
        <f>IF(TB_Vendas[[#This Row],[Desconto 
(Diretão)]]&lt;=TB_Vendas[[#This Row],[Desconto 
(Vendedor)]],TB_Vendas[[#This Row],[Desconto 
(Diretão)]],TB_Vendas[[#This Row],[Desconto 
(Vendedor)]])</f>
        <v>0.15</v>
      </c>
      <c r="L21" s="2">
        <f>TB_Vendas[[#This Row],[Preço Unitário]]*TB_Vendas[[#This Row],[Qtd]]</f>
        <v>540</v>
      </c>
      <c r="M21" s="1" t="s">
        <v>114</v>
      </c>
    </row>
    <row r="22" spans="1:13">
      <c r="A22" s="4">
        <f>MONTH(TB_Vendas[[#This Row],[Data]])</f>
        <v>2</v>
      </c>
      <c r="B22" s="3">
        <v>44983</v>
      </c>
      <c r="C22" s="4" t="s">
        <v>96</v>
      </c>
      <c r="D22" s="4" t="str">
        <f>_xlfn.XLOOKUP(TB_Vendas[[#This Row],[Código]],TB_Produtos[Código],TB_Produtos[Categoria])</f>
        <v>Vestuário</v>
      </c>
      <c r="E22" s="1">
        <v>2</v>
      </c>
      <c r="F22" s="7">
        <f>VLOOKUP(TB_Vendas[[#This Row],[Código]],Produtos!$B$6:$G$66,6,0)</f>
        <v>32.9</v>
      </c>
      <c r="G22" s="1">
        <f>_xlfn.XMATCH(TB_Vendas[[#This Row],[Categoria]],Desc_Categorias,0)</f>
        <v>3</v>
      </c>
      <c r="H22" s="43">
        <f>VLOOKUP(TB_Vendas[[#This Row],[Qtd]],Desc_TabelaToda,TB_Vendas[[#This Row],[Indice]],TRUE)</f>
        <v>0.15</v>
      </c>
      <c r="I22" s="43" cm="1">
        <f t="array" ref="I22">INDEX(Desc_TabelaToda,MATCH(TB_Vendas[[#This Row],[Qtd]],Desc_Quantidades,1),MATCH(_xlfn.XLOOKUP(TB_Vendas[[#This Row],[Código]],TB_Produtos[[#All],[Código]],TB_Produtos[[#All],[Categoria]]),Desc_Categorias,0))</f>
        <v>0.15</v>
      </c>
      <c r="J22" s="43">
        <f>_xlfn.XLOOKUP(TB_Vendas[[#This Row],[Vendedor]],Vendedores!$A$5:$A$9,Vendedores!$D$5:$D$9)</f>
        <v>0.2</v>
      </c>
      <c r="K22" s="43">
        <f>IF(TB_Vendas[[#This Row],[Desconto 
(Diretão)]]&lt;=TB_Vendas[[#This Row],[Desconto 
(Vendedor)]],TB_Vendas[[#This Row],[Desconto 
(Diretão)]],TB_Vendas[[#This Row],[Desconto 
(Vendedor)]])</f>
        <v>0.15</v>
      </c>
      <c r="L22" s="2">
        <f>TB_Vendas[[#This Row],[Preço Unitário]]*TB_Vendas[[#This Row],[Qtd]]</f>
        <v>65.8</v>
      </c>
      <c r="M22" s="1" t="s">
        <v>113</v>
      </c>
    </row>
    <row r="23" spans="1:13">
      <c r="A23" s="4">
        <f>MONTH(TB_Vendas[[#This Row],[Data]])</f>
        <v>3</v>
      </c>
      <c r="B23" s="3">
        <v>44986</v>
      </c>
      <c r="C23" s="4" t="s">
        <v>59</v>
      </c>
      <c r="D23" s="4" t="str">
        <f>_xlfn.XLOOKUP(TB_Vendas[[#This Row],[Código]],TB_Produtos[Código],TB_Produtos[Categoria])</f>
        <v>Calçado</v>
      </c>
      <c r="E23" s="1">
        <v>3</v>
      </c>
      <c r="F23" s="7">
        <f>VLOOKUP(TB_Vendas[[#This Row],[Código]],Produtos!$B$6:$G$66,6,0)</f>
        <v>255</v>
      </c>
      <c r="G23" s="1">
        <f>_xlfn.XMATCH(TB_Vendas[[#This Row],[Categoria]],Desc_Categorias,0)</f>
        <v>4</v>
      </c>
      <c r="H23" s="43">
        <f>VLOOKUP(TB_Vendas[[#This Row],[Qtd]],Desc_TabelaToda,TB_Vendas[[#This Row],[Indice]],TRUE)</f>
        <v>0.15</v>
      </c>
      <c r="I23" s="43" cm="1">
        <f t="array" ref="I23">INDEX(Desc_TabelaToda,MATCH(TB_Vendas[[#This Row],[Qtd]],Desc_Quantidades,1),MATCH(_xlfn.XLOOKUP(TB_Vendas[[#This Row],[Código]],TB_Produtos[[#All],[Código]],TB_Produtos[[#All],[Categoria]]),Desc_Categorias,0))</f>
        <v>0.15</v>
      </c>
      <c r="J23" s="43">
        <f>_xlfn.XLOOKUP(TB_Vendas[[#This Row],[Vendedor]],Vendedores!$A$5:$A$9,Vendedores!$D$5:$D$9)</f>
        <v>0.2</v>
      </c>
      <c r="K23" s="43">
        <f>IF(TB_Vendas[[#This Row],[Desconto 
(Diretão)]]&lt;=TB_Vendas[[#This Row],[Desconto 
(Vendedor)]],TB_Vendas[[#This Row],[Desconto 
(Diretão)]],TB_Vendas[[#This Row],[Desconto 
(Vendedor)]])</f>
        <v>0.15</v>
      </c>
      <c r="L23" s="2">
        <f>TB_Vendas[[#This Row],[Preço Unitário]]*TB_Vendas[[#This Row],[Qtd]]</f>
        <v>765</v>
      </c>
      <c r="M23" s="1" t="s">
        <v>116</v>
      </c>
    </row>
    <row r="24" spans="1:13">
      <c r="A24" s="4">
        <f>MONTH(TB_Vendas[[#This Row],[Data]])</f>
        <v>3</v>
      </c>
      <c r="B24" s="3">
        <v>44986</v>
      </c>
      <c r="C24" s="4" t="s">
        <v>68</v>
      </c>
      <c r="D24" s="4" t="str">
        <f>_xlfn.XLOOKUP(TB_Vendas[[#This Row],[Código]],TB_Produtos[Código],TB_Produtos[Categoria])</f>
        <v>Vestuário</v>
      </c>
      <c r="E24" s="1">
        <v>1</v>
      </c>
      <c r="F24" s="7">
        <f>VLOOKUP(TB_Vendas[[#This Row],[Código]],Produtos!$B$6:$G$66,6,0)</f>
        <v>142.9</v>
      </c>
      <c r="G24" s="1">
        <f>_xlfn.XMATCH(TB_Vendas[[#This Row],[Categoria]],Desc_Categorias,0)</f>
        <v>3</v>
      </c>
      <c r="H24" s="43">
        <f>VLOOKUP(TB_Vendas[[#This Row],[Qtd]],Desc_TabelaToda,TB_Vendas[[#This Row],[Indice]],TRUE)</f>
        <v>0.1</v>
      </c>
      <c r="I24" s="43" cm="1">
        <f t="array" ref="I24">INDEX(Desc_TabelaToda,MATCH(TB_Vendas[[#This Row],[Qtd]],Desc_Quantidades,1),MATCH(_xlfn.XLOOKUP(TB_Vendas[[#This Row],[Código]],TB_Produtos[[#All],[Código]],TB_Produtos[[#All],[Categoria]]),Desc_Categorias,0))</f>
        <v>0.1</v>
      </c>
      <c r="J24" s="43">
        <f>_xlfn.XLOOKUP(TB_Vendas[[#This Row],[Vendedor]],Vendedores!$A$5:$A$9,Vendedores!$D$5:$D$9)</f>
        <v>0.2</v>
      </c>
      <c r="K24" s="43">
        <f>IF(TB_Vendas[[#This Row],[Desconto 
(Diretão)]]&lt;=TB_Vendas[[#This Row],[Desconto 
(Vendedor)]],TB_Vendas[[#This Row],[Desconto 
(Diretão)]],TB_Vendas[[#This Row],[Desconto 
(Vendedor)]])</f>
        <v>0.1</v>
      </c>
      <c r="L24" s="2">
        <f>TB_Vendas[[#This Row],[Preço Unitário]]*TB_Vendas[[#This Row],[Qtd]]</f>
        <v>142.9</v>
      </c>
      <c r="M24" s="1" t="s">
        <v>113</v>
      </c>
    </row>
    <row r="25" spans="1:13">
      <c r="A25" s="4">
        <f>MONTH(TB_Vendas[[#This Row],[Data]])</f>
        <v>3</v>
      </c>
      <c r="B25" s="3">
        <v>44987</v>
      </c>
      <c r="C25" s="4" t="s">
        <v>39</v>
      </c>
      <c r="D25" s="4" t="str">
        <f>_xlfn.XLOOKUP(TB_Vendas[[#This Row],[Código]],TB_Produtos[Código],TB_Produtos[Categoria])</f>
        <v>Vestuário</v>
      </c>
      <c r="E25" s="1">
        <v>4</v>
      </c>
      <c r="F25" s="7">
        <f>VLOOKUP(TB_Vendas[[#This Row],[Código]],Produtos!$B$6:$G$66,6,0)</f>
        <v>92.9</v>
      </c>
      <c r="G25" s="1">
        <f>_xlfn.XMATCH(TB_Vendas[[#This Row],[Categoria]],Desc_Categorias,0)</f>
        <v>3</v>
      </c>
      <c r="H25" s="43">
        <f>VLOOKUP(TB_Vendas[[#This Row],[Qtd]],Desc_TabelaToda,TB_Vendas[[#This Row],[Indice]],TRUE)</f>
        <v>0.2</v>
      </c>
      <c r="I25" s="43" cm="1">
        <f t="array" ref="I25">INDEX(Desc_TabelaToda,MATCH(TB_Vendas[[#This Row],[Qtd]],Desc_Quantidades,1),MATCH(_xlfn.XLOOKUP(TB_Vendas[[#This Row],[Código]],TB_Produtos[[#All],[Código]],TB_Produtos[[#All],[Categoria]]),Desc_Categorias,0))</f>
        <v>0.2</v>
      </c>
      <c r="J25" s="43">
        <f>_xlfn.XLOOKUP(TB_Vendas[[#This Row],[Vendedor]],Vendedores!$A$5:$A$9,Vendedores!$D$5:$D$9)</f>
        <v>0.1</v>
      </c>
      <c r="K25" s="43">
        <f>IF(TB_Vendas[[#This Row],[Desconto 
(Diretão)]]&lt;=TB_Vendas[[#This Row],[Desconto 
(Vendedor)]],TB_Vendas[[#This Row],[Desconto 
(Diretão)]],TB_Vendas[[#This Row],[Desconto 
(Vendedor)]])</f>
        <v>0.1</v>
      </c>
      <c r="L25" s="2">
        <f>TB_Vendas[[#This Row],[Preço Unitário]]*TB_Vendas[[#This Row],[Qtd]]</f>
        <v>371.6</v>
      </c>
      <c r="M25" s="1" t="s">
        <v>115</v>
      </c>
    </row>
    <row r="26" spans="1:13">
      <c r="A26" s="4">
        <f>MONTH(TB_Vendas[[#This Row],[Data]])</f>
        <v>3</v>
      </c>
      <c r="B26" s="3">
        <v>44988</v>
      </c>
      <c r="C26" s="4" t="s">
        <v>85</v>
      </c>
      <c r="D26" s="4" t="str">
        <f>_xlfn.XLOOKUP(TB_Vendas[[#This Row],[Código]],TB_Produtos[Código],TB_Produtos[Categoria])</f>
        <v>Vestuário</v>
      </c>
      <c r="E26" s="1">
        <v>2</v>
      </c>
      <c r="F26" s="7">
        <f>VLOOKUP(TB_Vendas[[#This Row],[Código]],Produtos!$B$6:$G$66,6,0)</f>
        <v>54.9</v>
      </c>
      <c r="G26" s="1">
        <f>_xlfn.XMATCH(TB_Vendas[[#This Row],[Categoria]],Desc_Categorias,0)</f>
        <v>3</v>
      </c>
      <c r="H26" s="43">
        <f>VLOOKUP(TB_Vendas[[#This Row],[Qtd]],Desc_TabelaToda,TB_Vendas[[#This Row],[Indice]],TRUE)</f>
        <v>0.15</v>
      </c>
      <c r="I26" s="43" cm="1">
        <f t="array" ref="I26">INDEX(Desc_TabelaToda,MATCH(TB_Vendas[[#This Row],[Qtd]],Desc_Quantidades,1),MATCH(_xlfn.XLOOKUP(TB_Vendas[[#This Row],[Código]],TB_Produtos[[#All],[Código]],TB_Produtos[[#All],[Categoria]]),Desc_Categorias,0))</f>
        <v>0.15</v>
      </c>
      <c r="J26" s="43">
        <f>_xlfn.XLOOKUP(TB_Vendas[[#This Row],[Vendedor]],Vendedores!$A$5:$A$9,Vendedores!$D$5:$D$9)</f>
        <v>0.2</v>
      </c>
      <c r="K26" s="43">
        <f>IF(TB_Vendas[[#This Row],[Desconto 
(Diretão)]]&lt;=TB_Vendas[[#This Row],[Desconto 
(Vendedor)]],TB_Vendas[[#This Row],[Desconto 
(Diretão)]],TB_Vendas[[#This Row],[Desconto 
(Vendedor)]])</f>
        <v>0.15</v>
      </c>
      <c r="L26" s="2">
        <f>TB_Vendas[[#This Row],[Preço Unitário]]*TB_Vendas[[#This Row],[Qtd]]</f>
        <v>109.8</v>
      </c>
      <c r="M26" s="1" t="s">
        <v>113</v>
      </c>
    </row>
    <row r="27" spans="1:13">
      <c r="A27" s="4">
        <f>MONTH(TB_Vendas[[#This Row],[Data]])</f>
        <v>3</v>
      </c>
      <c r="B27" s="3">
        <v>44989</v>
      </c>
      <c r="C27" s="4" t="s">
        <v>68</v>
      </c>
      <c r="D27" s="4" t="str">
        <f>_xlfn.XLOOKUP(TB_Vendas[[#This Row],[Código]],TB_Produtos[Código],TB_Produtos[Categoria])</f>
        <v>Vestuário</v>
      </c>
      <c r="E27" s="1">
        <v>3</v>
      </c>
      <c r="F27" s="7">
        <f>VLOOKUP(TB_Vendas[[#This Row],[Código]],Produtos!$B$6:$G$66,6,0)</f>
        <v>142.9</v>
      </c>
      <c r="G27" s="1">
        <f>_xlfn.XMATCH(TB_Vendas[[#This Row],[Categoria]],Desc_Categorias,0)</f>
        <v>3</v>
      </c>
      <c r="H27" s="43">
        <f>VLOOKUP(TB_Vendas[[#This Row],[Qtd]],Desc_TabelaToda,TB_Vendas[[#This Row],[Indice]],TRUE)</f>
        <v>0.2</v>
      </c>
      <c r="I27" s="43" cm="1">
        <f t="array" ref="I27">INDEX(Desc_TabelaToda,MATCH(TB_Vendas[[#This Row],[Qtd]],Desc_Quantidades,1),MATCH(_xlfn.XLOOKUP(TB_Vendas[[#This Row],[Código]],TB_Produtos[[#All],[Código]],TB_Produtos[[#All],[Categoria]]),Desc_Categorias,0))</f>
        <v>0.2</v>
      </c>
      <c r="J27" s="43">
        <f>_xlfn.XLOOKUP(TB_Vendas[[#This Row],[Vendedor]],Vendedores!$A$5:$A$9,Vendedores!$D$5:$D$9)</f>
        <v>0.15</v>
      </c>
      <c r="K27" s="43">
        <f>IF(TB_Vendas[[#This Row],[Desconto 
(Diretão)]]&lt;=TB_Vendas[[#This Row],[Desconto 
(Vendedor)]],TB_Vendas[[#This Row],[Desconto 
(Diretão)]],TB_Vendas[[#This Row],[Desconto 
(Vendedor)]])</f>
        <v>0.15</v>
      </c>
      <c r="L27" s="2">
        <f>TB_Vendas[[#This Row],[Preço Unitário]]*TB_Vendas[[#This Row],[Qtd]]</f>
        <v>428.70000000000005</v>
      </c>
      <c r="M27" s="1" t="s">
        <v>114</v>
      </c>
    </row>
    <row r="28" spans="1:13">
      <c r="A28" s="4">
        <f>MONTH(TB_Vendas[[#This Row],[Data]])</f>
        <v>3</v>
      </c>
      <c r="B28" s="3">
        <v>44994</v>
      </c>
      <c r="C28" s="4" t="s">
        <v>57</v>
      </c>
      <c r="D28" s="4" t="str">
        <f>_xlfn.XLOOKUP(TB_Vendas[[#This Row],[Código]],TB_Produtos[Código],TB_Produtos[Categoria])</f>
        <v>Acessórios</v>
      </c>
      <c r="E28" s="1">
        <v>2</v>
      </c>
      <c r="F28" s="7">
        <f>VLOOKUP(TB_Vendas[[#This Row],[Código]],Produtos!$B$6:$G$66,6,0)</f>
        <v>120</v>
      </c>
      <c r="G28" s="1">
        <f>_xlfn.XMATCH(TB_Vendas[[#This Row],[Categoria]],Desc_Categorias,0)</f>
        <v>2</v>
      </c>
      <c r="H28" s="43">
        <f>VLOOKUP(TB_Vendas[[#This Row],[Qtd]],Desc_TabelaToda,TB_Vendas[[#This Row],[Indice]],TRUE)</f>
        <v>0.05</v>
      </c>
      <c r="I28" s="43" cm="1">
        <f t="array" ref="I28">INDEX(Desc_TabelaToda,MATCH(TB_Vendas[[#This Row],[Qtd]],Desc_Quantidades,1),MATCH(_xlfn.XLOOKUP(TB_Vendas[[#This Row],[Código]],TB_Produtos[[#All],[Código]],TB_Produtos[[#All],[Categoria]]),Desc_Categorias,0))</f>
        <v>0.05</v>
      </c>
      <c r="J28" s="43">
        <f>_xlfn.XLOOKUP(TB_Vendas[[#This Row],[Vendedor]],Vendedores!$A$5:$A$9,Vendedores!$D$5:$D$9)</f>
        <v>0.15</v>
      </c>
      <c r="K28" s="43">
        <f>IF(TB_Vendas[[#This Row],[Desconto 
(Diretão)]]&lt;=TB_Vendas[[#This Row],[Desconto 
(Vendedor)]],TB_Vendas[[#This Row],[Desconto 
(Diretão)]],TB_Vendas[[#This Row],[Desconto 
(Vendedor)]])</f>
        <v>0.05</v>
      </c>
      <c r="L28" s="2">
        <f>TB_Vendas[[#This Row],[Preço Unitário]]*TB_Vendas[[#This Row],[Qtd]]</f>
        <v>240</v>
      </c>
      <c r="M28" s="1" t="s">
        <v>114</v>
      </c>
    </row>
    <row r="29" spans="1:13">
      <c r="A29" s="4">
        <f>MONTH(TB_Vendas[[#This Row],[Data]])</f>
        <v>3</v>
      </c>
      <c r="B29" s="3">
        <v>44999</v>
      </c>
      <c r="C29" s="4" t="s">
        <v>31</v>
      </c>
      <c r="D29" s="4" t="str">
        <f>_xlfn.XLOOKUP(TB_Vendas[[#This Row],[Código]],TB_Produtos[Código],TB_Produtos[Categoria])</f>
        <v>Vestuário</v>
      </c>
      <c r="E29" s="1">
        <v>1</v>
      </c>
      <c r="F29" s="7">
        <f>VLOOKUP(TB_Vendas[[#This Row],[Código]],Produtos!$B$6:$G$66,6,0)</f>
        <v>65.900000000000006</v>
      </c>
      <c r="G29" s="1">
        <f>_xlfn.XMATCH(TB_Vendas[[#This Row],[Categoria]],Desc_Categorias,0)</f>
        <v>3</v>
      </c>
      <c r="H29" s="43">
        <f>VLOOKUP(TB_Vendas[[#This Row],[Qtd]],Desc_TabelaToda,TB_Vendas[[#This Row],[Indice]],TRUE)</f>
        <v>0.1</v>
      </c>
      <c r="I29" s="43" cm="1">
        <f t="array" ref="I29">INDEX(Desc_TabelaToda,MATCH(TB_Vendas[[#This Row],[Qtd]],Desc_Quantidades,1),MATCH(_xlfn.XLOOKUP(TB_Vendas[[#This Row],[Código]],TB_Produtos[[#All],[Código]],TB_Produtos[[#All],[Categoria]]),Desc_Categorias,0))</f>
        <v>0.1</v>
      </c>
      <c r="J29" s="43">
        <f>_xlfn.XLOOKUP(TB_Vendas[[#This Row],[Vendedor]],Vendedores!$A$5:$A$9,Vendedores!$D$5:$D$9)</f>
        <v>0.2</v>
      </c>
      <c r="K29" s="43">
        <f>IF(TB_Vendas[[#This Row],[Desconto 
(Diretão)]]&lt;=TB_Vendas[[#This Row],[Desconto 
(Vendedor)]],TB_Vendas[[#This Row],[Desconto 
(Diretão)]],TB_Vendas[[#This Row],[Desconto 
(Vendedor)]])</f>
        <v>0.1</v>
      </c>
      <c r="L29" s="2">
        <f>TB_Vendas[[#This Row],[Preço Unitário]]*TB_Vendas[[#This Row],[Qtd]]</f>
        <v>65.900000000000006</v>
      </c>
      <c r="M29" s="1" t="s">
        <v>116</v>
      </c>
    </row>
    <row r="30" spans="1:13">
      <c r="A30" s="4">
        <f>MONTH(TB_Vendas[[#This Row],[Data]])</f>
        <v>3</v>
      </c>
      <c r="B30" s="3">
        <v>45004</v>
      </c>
      <c r="C30" s="4" t="s">
        <v>94</v>
      </c>
      <c r="D30" s="4" t="str">
        <f>_xlfn.XLOOKUP(TB_Vendas[[#This Row],[Código]],TB_Produtos[Código],TB_Produtos[Categoria])</f>
        <v>Vestuário</v>
      </c>
      <c r="E30" s="1">
        <v>5</v>
      </c>
      <c r="F30" s="7">
        <f>VLOOKUP(TB_Vendas[[#This Row],[Código]],Produtos!$B$6:$G$66,6,0)</f>
        <v>32.9</v>
      </c>
      <c r="G30" s="1">
        <f>_xlfn.XMATCH(TB_Vendas[[#This Row],[Categoria]],Desc_Categorias,0)</f>
        <v>3</v>
      </c>
      <c r="H30" s="43">
        <f>VLOOKUP(TB_Vendas[[#This Row],[Qtd]],Desc_TabelaToda,TB_Vendas[[#This Row],[Indice]],TRUE)</f>
        <v>0.25</v>
      </c>
      <c r="I30" s="43" cm="1">
        <f t="array" ref="I30">INDEX(Desc_TabelaToda,MATCH(TB_Vendas[[#This Row],[Qtd]],Desc_Quantidades,1),MATCH(_xlfn.XLOOKUP(TB_Vendas[[#This Row],[Código]],TB_Produtos[[#All],[Código]],TB_Produtos[[#All],[Categoria]]),Desc_Categorias,0))</f>
        <v>0.25</v>
      </c>
      <c r="J30" s="43">
        <f>_xlfn.XLOOKUP(TB_Vendas[[#This Row],[Vendedor]],Vendedores!$A$5:$A$9,Vendedores!$D$5:$D$9)</f>
        <v>0.15</v>
      </c>
      <c r="K30" s="43">
        <f>IF(TB_Vendas[[#This Row],[Desconto 
(Diretão)]]&lt;=TB_Vendas[[#This Row],[Desconto 
(Vendedor)]],TB_Vendas[[#This Row],[Desconto 
(Diretão)]],TB_Vendas[[#This Row],[Desconto 
(Vendedor)]])</f>
        <v>0.15</v>
      </c>
      <c r="L30" s="2">
        <f>TB_Vendas[[#This Row],[Preço Unitário]]*TB_Vendas[[#This Row],[Qtd]]</f>
        <v>164.5</v>
      </c>
      <c r="M30" s="1" t="s">
        <v>117</v>
      </c>
    </row>
    <row r="31" spans="1:13">
      <c r="A31" s="4">
        <f>MONTH(TB_Vendas[[#This Row],[Data]])</f>
        <v>3</v>
      </c>
      <c r="B31" s="3">
        <v>45006</v>
      </c>
      <c r="C31" s="4" t="s">
        <v>109</v>
      </c>
      <c r="D31" s="4" t="str">
        <f>_xlfn.XLOOKUP(TB_Vendas[[#This Row],[Código]],TB_Produtos[Código],TB_Produtos[Categoria])</f>
        <v>Vestuário</v>
      </c>
      <c r="E31" s="1">
        <v>2</v>
      </c>
      <c r="F31" s="7">
        <f>VLOOKUP(TB_Vendas[[#This Row],[Código]],Produtos!$B$6:$G$66,6,0)</f>
        <v>180</v>
      </c>
      <c r="G31" s="1">
        <f>_xlfn.XMATCH(TB_Vendas[[#This Row],[Categoria]],Desc_Categorias,0)</f>
        <v>3</v>
      </c>
      <c r="H31" s="43">
        <f>VLOOKUP(TB_Vendas[[#This Row],[Qtd]],Desc_TabelaToda,TB_Vendas[[#This Row],[Indice]],TRUE)</f>
        <v>0.15</v>
      </c>
      <c r="I31" s="43" cm="1">
        <f t="array" ref="I31">INDEX(Desc_TabelaToda,MATCH(TB_Vendas[[#This Row],[Qtd]],Desc_Quantidades,1),MATCH(_xlfn.XLOOKUP(TB_Vendas[[#This Row],[Código]],TB_Produtos[[#All],[Código]],TB_Produtos[[#All],[Categoria]]),Desc_Categorias,0))</f>
        <v>0.15</v>
      </c>
      <c r="J31" s="43">
        <f>_xlfn.XLOOKUP(TB_Vendas[[#This Row],[Vendedor]],Vendedores!$A$5:$A$9,Vendedores!$D$5:$D$9)</f>
        <v>0.15</v>
      </c>
      <c r="K31" s="43">
        <f>IF(TB_Vendas[[#This Row],[Desconto 
(Diretão)]]&lt;=TB_Vendas[[#This Row],[Desconto 
(Vendedor)]],TB_Vendas[[#This Row],[Desconto 
(Diretão)]],TB_Vendas[[#This Row],[Desconto 
(Vendedor)]])</f>
        <v>0.15</v>
      </c>
      <c r="L31" s="2">
        <f>TB_Vendas[[#This Row],[Preço Unitário]]*TB_Vendas[[#This Row],[Qtd]]</f>
        <v>360</v>
      </c>
      <c r="M31" s="1" t="s">
        <v>114</v>
      </c>
    </row>
    <row r="32" spans="1:13">
      <c r="A32" s="4">
        <f>MONTH(TB_Vendas[[#This Row],[Data]])</f>
        <v>3</v>
      </c>
      <c r="B32" s="3">
        <v>45010</v>
      </c>
      <c r="C32" s="4" t="s">
        <v>56</v>
      </c>
      <c r="D32" s="4" t="str">
        <f>_xlfn.XLOOKUP(TB_Vendas[[#This Row],[Código]],TB_Produtos[Código],TB_Produtos[Categoria])</f>
        <v>Acessórios</v>
      </c>
      <c r="E32" s="1">
        <v>3</v>
      </c>
      <c r="F32" s="7">
        <f>VLOOKUP(TB_Vendas[[#This Row],[Código]],Produtos!$B$6:$G$66,6,0)</f>
        <v>349.9</v>
      </c>
      <c r="G32" s="1">
        <f>_xlfn.XMATCH(TB_Vendas[[#This Row],[Categoria]],Desc_Categorias,0)</f>
        <v>2</v>
      </c>
      <c r="H32" s="43">
        <f>VLOOKUP(TB_Vendas[[#This Row],[Qtd]],Desc_TabelaToda,TB_Vendas[[#This Row],[Indice]],TRUE)</f>
        <v>0.15</v>
      </c>
      <c r="I32" s="43" cm="1">
        <f t="array" ref="I32">INDEX(Desc_TabelaToda,MATCH(TB_Vendas[[#This Row],[Qtd]],Desc_Quantidades,1),MATCH(_xlfn.XLOOKUP(TB_Vendas[[#This Row],[Código]],TB_Produtos[[#All],[Código]],TB_Produtos[[#All],[Categoria]]),Desc_Categorias,0))</f>
        <v>0.15</v>
      </c>
      <c r="J32" s="43">
        <f>_xlfn.XLOOKUP(TB_Vendas[[#This Row],[Vendedor]],Vendedores!$A$5:$A$9,Vendedores!$D$5:$D$9)</f>
        <v>0.2</v>
      </c>
      <c r="K32" s="43">
        <f>IF(TB_Vendas[[#This Row],[Desconto 
(Diretão)]]&lt;=TB_Vendas[[#This Row],[Desconto 
(Vendedor)]],TB_Vendas[[#This Row],[Desconto 
(Diretão)]],TB_Vendas[[#This Row],[Desconto 
(Vendedor)]])</f>
        <v>0.15</v>
      </c>
      <c r="L32" s="2">
        <f>TB_Vendas[[#This Row],[Preço Unitário]]*TB_Vendas[[#This Row],[Qtd]]</f>
        <v>1049.6999999999998</v>
      </c>
      <c r="M32" s="1" t="s">
        <v>113</v>
      </c>
    </row>
    <row r="33" spans="1:13">
      <c r="A33" s="4">
        <f>MONTH(TB_Vendas[[#This Row],[Data]])</f>
        <v>4</v>
      </c>
      <c r="B33" s="3">
        <v>45018</v>
      </c>
      <c r="C33" s="4" t="s">
        <v>88</v>
      </c>
      <c r="D33" s="4" t="str">
        <f>_xlfn.XLOOKUP(TB_Vendas[[#This Row],[Código]],TB_Produtos[Código],TB_Produtos[Categoria])</f>
        <v>Vestuário</v>
      </c>
      <c r="E33" s="1">
        <v>1</v>
      </c>
      <c r="F33" s="7">
        <f>VLOOKUP(TB_Vendas[[#This Row],[Código]],Produtos!$B$6:$G$66,6,0)</f>
        <v>72.5</v>
      </c>
      <c r="G33" s="1">
        <f>_xlfn.XMATCH(TB_Vendas[[#This Row],[Categoria]],Desc_Categorias,0)</f>
        <v>3</v>
      </c>
      <c r="H33" s="43">
        <f>VLOOKUP(TB_Vendas[[#This Row],[Qtd]],Desc_TabelaToda,TB_Vendas[[#This Row],[Indice]],TRUE)</f>
        <v>0.1</v>
      </c>
      <c r="I33" s="43" cm="1">
        <f t="array" ref="I33">INDEX(Desc_TabelaToda,MATCH(TB_Vendas[[#This Row],[Qtd]],Desc_Quantidades,1),MATCH(_xlfn.XLOOKUP(TB_Vendas[[#This Row],[Código]],TB_Produtos[[#All],[Código]],TB_Produtos[[#All],[Categoria]]),Desc_Categorias,0))</f>
        <v>0.1</v>
      </c>
      <c r="J33" s="43">
        <f>_xlfn.XLOOKUP(TB_Vendas[[#This Row],[Vendedor]],Vendedores!$A$5:$A$9,Vendedores!$D$5:$D$9)</f>
        <v>0.1</v>
      </c>
      <c r="K33" s="43">
        <f>IF(TB_Vendas[[#This Row],[Desconto 
(Diretão)]]&lt;=TB_Vendas[[#This Row],[Desconto 
(Vendedor)]],TB_Vendas[[#This Row],[Desconto 
(Diretão)]],TB_Vendas[[#This Row],[Desconto 
(Vendedor)]])</f>
        <v>0.1</v>
      </c>
      <c r="L33" s="2">
        <f>TB_Vendas[[#This Row],[Preço Unitário]]*TB_Vendas[[#This Row],[Qtd]]</f>
        <v>72.5</v>
      </c>
      <c r="M33" s="1" t="s">
        <v>115</v>
      </c>
    </row>
    <row r="34" spans="1:13">
      <c r="A34" s="4">
        <f>MONTH(TB_Vendas[[#This Row],[Data]])</f>
        <v>4</v>
      </c>
      <c r="B34" s="3">
        <v>45020</v>
      </c>
      <c r="C34" s="4" t="s">
        <v>54</v>
      </c>
      <c r="D34" s="4" t="str">
        <f>_xlfn.XLOOKUP(TB_Vendas[[#This Row],[Código]],TB_Produtos[Código],TB_Produtos[Categoria])</f>
        <v>Vestuário</v>
      </c>
      <c r="E34" s="1">
        <v>4</v>
      </c>
      <c r="F34" s="7">
        <f>VLOOKUP(TB_Vendas[[#This Row],[Código]],Produtos!$B$6:$G$66,6,0)</f>
        <v>259.89999999999998</v>
      </c>
      <c r="G34" s="1">
        <f>_xlfn.XMATCH(TB_Vendas[[#This Row],[Categoria]],Desc_Categorias,0)</f>
        <v>3</v>
      </c>
      <c r="H34" s="43">
        <f>VLOOKUP(TB_Vendas[[#This Row],[Qtd]],Desc_TabelaToda,TB_Vendas[[#This Row],[Indice]],TRUE)</f>
        <v>0.2</v>
      </c>
      <c r="I34" s="43" cm="1">
        <f t="array" ref="I34">INDEX(Desc_TabelaToda,MATCH(TB_Vendas[[#This Row],[Qtd]],Desc_Quantidades,1),MATCH(_xlfn.XLOOKUP(TB_Vendas[[#This Row],[Código]],TB_Produtos[[#All],[Código]],TB_Produtos[[#All],[Categoria]]),Desc_Categorias,0))</f>
        <v>0.2</v>
      </c>
      <c r="J34" s="43">
        <f>_xlfn.XLOOKUP(TB_Vendas[[#This Row],[Vendedor]],Vendedores!$A$5:$A$9,Vendedores!$D$5:$D$9)</f>
        <v>0.2</v>
      </c>
      <c r="K34" s="43">
        <f>IF(TB_Vendas[[#This Row],[Desconto 
(Diretão)]]&lt;=TB_Vendas[[#This Row],[Desconto 
(Vendedor)]],TB_Vendas[[#This Row],[Desconto 
(Diretão)]],TB_Vendas[[#This Row],[Desconto 
(Vendedor)]])</f>
        <v>0.2</v>
      </c>
      <c r="L34" s="2">
        <f>TB_Vendas[[#This Row],[Preço Unitário]]*TB_Vendas[[#This Row],[Qtd]]</f>
        <v>1039.5999999999999</v>
      </c>
      <c r="M34" s="1" t="s">
        <v>113</v>
      </c>
    </row>
    <row r="35" spans="1:13">
      <c r="A35" s="4">
        <f>MONTH(TB_Vendas[[#This Row],[Data]])</f>
        <v>4</v>
      </c>
      <c r="B35" s="3">
        <v>45024</v>
      </c>
      <c r="C35" s="4" t="s">
        <v>46</v>
      </c>
      <c r="D35" s="4" t="str">
        <f>_xlfn.XLOOKUP(TB_Vendas[[#This Row],[Código]],TB_Produtos[Código],TB_Produtos[Categoria])</f>
        <v>Vestuário</v>
      </c>
      <c r="E35" s="1">
        <v>3</v>
      </c>
      <c r="F35" s="7">
        <f>VLOOKUP(TB_Vendas[[#This Row],[Código]],Produtos!$B$6:$G$66,6,0)</f>
        <v>25.9</v>
      </c>
      <c r="G35" s="1">
        <f>_xlfn.XMATCH(TB_Vendas[[#This Row],[Categoria]],Desc_Categorias,0)</f>
        <v>3</v>
      </c>
      <c r="H35" s="43">
        <f>VLOOKUP(TB_Vendas[[#This Row],[Qtd]],Desc_TabelaToda,TB_Vendas[[#This Row],[Indice]],TRUE)</f>
        <v>0.2</v>
      </c>
      <c r="I35" s="43" cm="1">
        <f t="array" ref="I35">INDEX(Desc_TabelaToda,MATCH(TB_Vendas[[#This Row],[Qtd]],Desc_Quantidades,1),MATCH(_xlfn.XLOOKUP(TB_Vendas[[#This Row],[Código]],TB_Produtos[[#All],[Código]],TB_Produtos[[#All],[Categoria]]),Desc_Categorias,0))</f>
        <v>0.2</v>
      </c>
      <c r="J35" s="43">
        <f>_xlfn.XLOOKUP(TB_Vendas[[#This Row],[Vendedor]],Vendedores!$A$5:$A$9,Vendedores!$D$5:$D$9)</f>
        <v>0.15</v>
      </c>
      <c r="K35" s="43">
        <f>IF(TB_Vendas[[#This Row],[Desconto 
(Diretão)]]&lt;=TB_Vendas[[#This Row],[Desconto 
(Vendedor)]],TB_Vendas[[#This Row],[Desconto 
(Diretão)]],TB_Vendas[[#This Row],[Desconto 
(Vendedor)]])</f>
        <v>0.15</v>
      </c>
      <c r="L35" s="2">
        <f>TB_Vendas[[#This Row],[Preço Unitário]]*TB_Vendas[[#This Row],[Qtd]]</f>
        <v>77.699999999999989</v>
      </c>
      <c r="M35" s="1" t="s">
        <v>114</v>
      </c>
    </row>
    <row r="36" spans="1:13">
      <c r="A36" s="4">
        <f>MONTH(TB_Vendas[[#This Row],[Data]])</f>
        <v>4</v>
      </c>
      <c r="B36" s="3">
        <v>45027</v>
      </c>
      <c r="C36" s="4" t="s">
        <v>34</v>
      </c>
      <c r="D36" s="4" t="str">
        <f>_xlfn.XLOOKUP(TB_Vendas[[#This Row],[Código]],TB_Produtos[Código],TB_Produtos[Categoria])</f>
        <v>Acessórios</v>
      </c>
      <c r="E36" s="1">
        <v>2</v>
      </c>
      <c r="F36" s="7">
        <f>VLOOKUP(TB_Vendas[[#This Row],[Código]],Produtos!$B$6:$G$66,6,0)</f>
        <v>145</v>
      </c>
      <c r="G36" s="1">
        <f>_xlfn.XMATCH(TB_Vendas[[#This Row],[Categoria]],Desc_Categorias,0)</f>
        <v>2</v>
      </c>
      <c r="H36" s="43">
        <f>VLOOKUP(TB_Vendas[[#This Row],[Qtd]],Desc_TabelaToda,TB_Vendas[[#This Row],[Indice]],TRUE)</f>
        <v>0.05</v>
      </c>
      <c r="I36" s="43" cm="1">
        <f t="array" ref="I36">INDEX(Desc_TabelaToda,MATCH(TB_Vendas[[#This Row],[Qtd]],Desc_Quantidades,1),MATCH(_xlfn.XLOOKUP(TB_Vendas[[#This Row],[Código]],TB_Produtos[[#All],[Código]],TB_Produtos[[#All],[Categoria]]),Desc_Categorias,0))</f>
        <v>0.05</v>
      </c>
      <c r="J36" s="43">
        <f>_xlfn.XLOOKUP(TB_Vendas[[#This Row],[Vendedor]],Vendedores!$A$5:$A$9,Vendedores!$D$5:$D$9)</f>
        <v>0.2</v>
      </c>
      <c r="K36" s="43">
        <f>IF(TB_Vendas[[#This Row],[Desconto 
(Diretão)]]&lt;=TB_Vendas[[#This Row],[Desconto 
(Vendedor)]],TB_Vendas[[#This Row],[Desconto 
(Diretão)]],TB_Vendas[[#This Row],[Desconto 
(Vendedor)]])</f>
        <v>0.05</v>
      </c>
      <c r="L36" s="2">
        <f>TB_Vendas[[#This Row],[Preço Unitário]]*TB_Vendas[[#This Row],[Qtd]]</f>
        <v>290</v>
      </c>
      <c r="M36" s="1" t="s">
        <v>113</v>
      </c>
    </row>
    <row r="37" spans="1:13">
      <c r="A37" s="4">
        <f>MONTH(TB_Vendas[[#This Row],[Data]])</f>
        <v>4</v>
      </c>
      <c r="B37" s="3">
        <v>45028</v>
      </c>
      <c r="C37" s="4" t="s">
        <v>36</v>
      </c>
      <c r="D37" s="4" t="str">
        <f>_xlfn.XLOOKUP(TB_Vendas[[#This Row],[Código]],TB_Produtos[Código],TB_Produtos[Categoria])</f>
        <v>Acessórios</v>
      </c>
      <c r="E37" s="1">
        <v>1</v>
      </c>
      <c r="F37" s="7">
        <f>VLOOKUP(TB_Vendas[[#This Row],[Código]],Produtos!$B$6:$G$66,6,0)</f>
        <v>39.9</v>
      </c>
      <c r="G37" s="1">
        <f>_xlfn.XMATCH(TB_Vendas[[#This Row],[Categoria]],Desc_Categorias,0)</f>
        <v>2</v>
      </c>
      <c r="H37" s="43">
        <f>VLOOKUP(TB_Vendas[[#This Row],[Qtd]],Desc_TabelaToda,TB_Vendas[[#This Row],[Indice]],TRUE)</f>
        <v>0</v>
      </c>
      <c r="I37" s="43" cm="1">
        <f t="array" ref="I37">INDEX(Desc_TabelaToda,MATCH(TB_Vendas[[#This Row],[Qtd]],Desc_Quantidades,1),MATCH(_xlfn.XLOOKUP(TB_Vendas[[#This Row],[Código]],TB_Produtos[[#All],[Código]],TB_Produtos[[#All],[Categoria]]),Desc_Categorias,0))</f>
        <v>0</v>
      </c>
      <c r="J37" s="43">
        <f>_xlfn.XLOOKUP(TB_Vendas[[#This Row],[Vendedor]],Vendedores!$A$5:$A$9,Vendedores!$D$5:$D$9)</f>
        <v>0.15</v>
      </c>
      <c r="K37" s="43">
        <f>IF(TB_Vendas[[#This Row],[Desconto 
(Diretão)]]&lt;=TB_Vendas[[#This Row],[Desconto 
(Vendedor)]],TB_Vendas[[#This Row],[Desconto 
(Diretão)]],TB_Vendas[[#This Row],[Desconto 
(Vendedor)]])</f>
        <v>0</v>
      </c>
      <c r="L37" s="2">
        <f>TB_Vendas[[#This Row],[Preço Unitário]]*TB_Vendas[[#This Row],[Qtd]]</f>
        <v>39.9</v>
      </c>
      <c r="M37" s="1" t="s">
        <v>114</v>
      </c>
    </row>
    <row r="38" spans="1:13">
      <c r="A38" s="4">
        <f>MONTH(TB_Vendas[[#This Row],[Data]])</f>
        <v>4</v>
      </c>
      <c r="B38" s="3">
        <v>45029</v>
      </c>
      <c r="C38" s="4" t="s">
        <v>56</v>
      </c>
      <c r="D38" s="4" t="str">
        <f>_xlfn.XLOOKUP(TB_Vendas[[#This Row],[Código]],TB_Produtos[Código],TB_Produtos[Categoria])</f>
        <v>Acessórios</v>
      </c>
      <c r="E38" s="1">
        <v>3</v>
      </c>
      <c r="F38" s="7">
        <f>VLOOKUP(TB_Vendas[[#This Row],[Código]],Produtos!$B$6:$G$66,6,0)</f>
        <v>349.9</v>
      </c>
      <c r="G38" s="1">
        <f>_xlfn.XMATCH(TB_Vendas[[#This Row],[Categoria]],Desc_Categorias,0)</f>
        <v>2</v>
      </c>
      <c r="H38" s="43">
        <f>VLOOKUP(TB_Vendas[[#This Row],[Qtd]],Desc_TabelaToda,TB_Vendas[[#This Row],[Indice]],TRUE)</f>
        <v>0.15</v>
      </c>
      <c r="I38" s="43" cm="1">
        <f t="array" ref="I38">INDEX(Desc_TabelaToda,MATCH(TB_Vendas[[#This Row],[Qtd]],Desc_Quantidades,1),MATCH(_xlfn.XLOOKUP(TB_Vendas[[#This Row],[Código]],TB_Produtos[[#All],[Código]],TB_Produtos[[#All],[Categoria]]),Desc_Categorias,0))</f>
        <v>0.15</v>
      </c>
      <c r="J38" s="43">
        <f>_xlfn.XLOOKUP(TB_Vendas[[#This Row],[Vendedor]],Vendedores!$A$5:$A$9,Vendedores!$D$5:$D$9)</f>
        <v>0.2</v>
      </c>
      <c r="K38" s="43">
        <f>IF(TB_Vendas[[#This Row],[Desconto 
(Diretão)]]&lt;=TB_Vendas[[#This Row],[Desconto 
(Vendedor)]],TB_Vendas[[#This Row],[Desconto 
(Diretão)]],TB_Vendas[[#This Row],[Desconto 
(Vendedor)]])</f>
        <v>0.15</v>
      </c>
      <c r="L38" s="2">
        <f>TB_Vendas[[#This Row],[Preço Unitário]]*TB_Vendas[[#This Row],[Qtd]]</f>
        <v>1049.6999999999998</v>
      </c>
      <c r="M38" s="1" t="s">
        <v>116</v>
      </c>
    </row>
    <row r="39" spans="1:13">
      <c r="A39" s="4">
        <f>MONTH(TB_Vendas[[#This Row],[Data]])</f>
        <v>4</v>
      </c>
      <c r="B39" s="3">
        <v>45031</v>
      </c>
      <c r="C39" s="4" t="s">
        <v>105</v>
      </c>
      <c r="D39" s="4" t="str">
        <f>_xlfn.XLOOKUP(TB_Vendas[[#This Row],[Código]],TB_Produtos[Código],TB_Produtos[Categoria])</f>
        <v>Calçado</v>
      </c>
      <c r="E39" s="1">
        <v>4</v>
      </c>
      <c r="F39" s="7">
        <f>VLOOKUP(TB_Vendas[[#This Row],[Código]],Produtos!$B$6:$G$66,6,0)</f>
        <v>89.9</v>
      </c>
      <c r="G39" s="1">
        <f>_xlfn.XMATCH(TB_Vendas[[#This Row],[Categoria]],Desc_Categorias,0)</f>
        <v>4</v>
      </c>
      <c r="H39" s="43">
        <f>VLOOKUP(TB_Vendas[[#This Row],[Qtd]],Desc_TabelaToda,TB_Vendas[[#This Row],[Indice]],TRUE)</f>
        <v>0.15</v>
      </c>
      <c r="I39" s="43" cm="1">
        <f t="array" ref="I39">INDEX(Desc_TabelaToda,MATCH(TB_Vendas[[#This Row],[Qtd]],Desc_Quantidades,1),MATCH(_xlfn.XLOOKUP(TB_Vendas[[#This Row],[Código]],TB_Produtos[[#All],[Código]],TB_Produtos[[#All],[Categoria]]),Desc_Categorias,0))</f>
        <v>0.15</v>
      </c>
      <c r="J39" s="43">
        <f>_xlfn.XLOOKUP(TB_Vendas[[#This Row],[Vendedor]],Vendedores!$A$5:$A$9,Vendedores!$D$5:$D$9)</f>
        <v>0.2</v>
      </c>
      <c r="K39" s="43">
        <f>IF(TB_Vendas[[#This Row],[Desconto 
(Diretão)]]&lt;=TB_Vendas[[#This Row],[Desconto 
(Vendedor)]],TB_Vendas[[#This Row],[Desconto 
(Diretão)]],TB_Vendas[[#This Row],[Desconto 
(Vendedor)]])</f>
        <v>0.15</v>
      </c>
      <c r="L39" s="2">
        <f>TB_Vendas[[#This Row],[Preço Unitário]]*TB_Vendas[[#This Row],[Qtd]]</f>
        <v>359.6</v>
      </c>
      <c r="M39" s="1" t="s">
        <v>113</v>
      </c>
    </row>
    <row r="40" spans="1:13">
      <c r="A40" s="4">
        <f>MONTH(TB_Vendas[[#This Row],[Data]])</f>
        <v>4</v>
      </c>
      <c r="B40" s="3">
        <v>45038</v>
      </c>
      <c r="C40" s="4" t="s">
        <v>102</v>
      </c>
      <c r="D40" s="4" t="str">
        <f>_xlfn.XLOOKUP(TB_Vendas[[#This Row],[Código]],TB_Produtos[Código],TB_Produtos[Categoria])</f>
        <v>Calçado</v>
      </c>
      <c r="E40" s="1">
        <v>2</v>
      </c>
      <c r="F40" s="7">
        <f>VLOOKUP(TB_Vendas[[#This Row],[Código]],Produtos!$B$6:$G$66,6,0)</f>
        <v>89.9</v>
      </c>
      <c r="G40" s="1">
        <f>_xlfn.XMATCH(TB_Vendas[[#This Row],[Categoria]],Desc_Categorias,0)</f>
        <v>4</v>
      </c>
      <c r="H40" s="43">
        <f>VLOOKUP(TB_Vendas[[#This Row],[Qtd]],Desc_TabelaToda,TB_Vendas[[#This Row],[Indice]],TRUE)</f>
        <v>0.1</v>
      </c>
      <c r="I40" s="43" cm="1">
        <f t="array" ref="I40">INDEX(Desc_TabelaToda,MATCH(TB_Vendas[[#This Row],[Qtd]],Desc_Quantidades,1),MATCH(_xlfn.XLOOKUP(TB_Vendas[[#This Row],[Código]],TB_Produtos[[#All],[Código]],TB_Produtos[[#All],[Categoria]]),Desc_Categorias,0))</f>
        <v>0.1</v>
      </c>
      <c r="J40" s="43">
        <f>_xlfn.XLOOKUP(TB_Vendas[[#This Row],[Vendedor]],Vendedores!$A$5:$A$9,Vendedores!$D$5:$D$9)</f>
        <v>0.2</v>
      </c>
      <c r="K40" s="43">
        <f>IF(TB_Vendas[[#This Row],[Desconto 
(Diretão)]]&lt;=TB_Vendas[[#This Row],[Desconto 
(Vendedor)]],TB_Vendas[[#This Row],[Desconto 
(Diretão)]],TB_Vendas[[#This Row],[Desconto 
(Vendedor)]])</f>
        <v>0.1</v>
      </c>
      <c r="L40" s="2">
        <f>TB_Vendas[[#This Row],[Preço Unitário]]*TB_Vendas[[#This Row],[Qtd]]</f>
        <v>179.8</v>
      </c>
      <c r="M40" s="1" t="s">
        <v>116</v>
      </c>
    </row>
    <row r="41" spans="1:13">
      <c r="A41" s="4">
        <f>MONTH(TB_Vendas[[#This Row],[Data]])</f>
        <v>4</v>
      </c>
      <c r="B41" s="3">
        <v>45039</v>
      </c>
      <c r="C41" s="4" t="s">
        <v>32</v>
      </c>
      <c r="D41" s="4" t="str">
        <f>_xlfn.XLOOKUP(TB_Vendas[[#This Row],[Código]],TB_Produtos[Código],TB_Produtos[Categoria])</f>
        <v>Vestuário</v>
      </c>
      <c r="E41" s="1">
        <v>3</v>
      </c>
      <c r="F41" s="7">
        <f>VLOOKUP(TB_Vendas[[#This Row],[Código]],Produtos!$B$6:$G$66,6,0)</f>
        <v>69.900000000000006</v>
      </c>
      <c r="G41" s="1">
        <f>_xlfn.XMATCH(TB_Vendas[[#This Row],[Categoria]],Desc_Categorias,0)</f>
        <v>3</v>
      </c>
      <c r="H41" s="43">
        <f>VLOOKUP(TB_Vendas[[#This Row],[Qtd]],Desc_TabelaToda,TB_Vendas[[#This Row],[Indice]],TRUE)</f>
        <v>0.2</v>
      </c>
      <c r="I41" s="43" cm="1">
        <f t="array" ref="I41">INDEX(Desc_TabelaToda,MATCH(TB_Vendas[[#This Row],[Qtd]],Desc_Quantidades,1),MATCH(_xlfn.XLOOKUP(TB_Vendas[[#This Row],[Código]],TB_Produtos[[#All],[Código]],TB_Produtos[[#All],[Categoria]]),Desc_Categorias,0))</f>
        <v>0.2</v>
      </c>
      <c r="J41" s="43">
        <f>_xlfn.XLOOKUP(TB_Vendas[[#This Row],[Vendedor]],Vendedores!$A$5:$A$9,Vendedores!$D$5:$D$9)</f>
        <v>0.2</v>
      </c>
      <c r="K41" s="43">
        <f>IF(TB_Vendas[[#This Row],[Desconto 
(Diretão)]]&lt;=TB_Vendas[[#This Row],[Desconto 
(Vendedor)]],TB_Vendas[[#This Row],[Desconto 
(Diretão)]],TB_Vendas[[#This Row],[Desconto 
(Vendedor)]])</f>
        <v>0.2</v>
      </c>
      <c r="L41" s="2">
        <f>TB_Vendas[[#This Row],[Preço Unitário]]*TB_Vendas[[#This Row],[Qtd]]</f>
        <v>209.70000000000002</v>
      </c>
      <c r="M41" s="1" t="s">
        <v>113</v>
      </c>
    </row>
    <row r="42" spans="1:13">
      <c r="A42" s="4">
        <f>MONTH(TB_Vendas[[#This Row],[Data]])</f>
        <v>4</v>
      </c>
      <c r="B42" s="3">
        <v>45042</v>
      </c>
      <c r="C42" s="4" t="s">
        <v>34</v>
      </c>
      <c r="D42" s="4" t="str">
        <f>_xlfn.XLOOKUP(TB_Vendas[[#This Row],[Código]],TB_Produtos[Código],TB_Produtos[Categoria])</f>
        <v>Acessórios</v>
      </c>
      <c r="E42" s="1">
        <v>1</v>
      </c>
      <c r="F42" s="7">
        <f>VLOOKUP(TB_Vendas[[#This Row],[Código]],Produtos!$B$6:$G$66,6,0)</f>
        <v>145</v>
      </c>
      <c r="G42" s="1">
        <f>_xlfn.XMATCH(TB_Vendas[[#This Row],[Categoria]],Desc_Categorias,0)</f>
        <v>2</v>
      </c>
      <c r="H42" s="43">
        <f>VLOOKUP(TB_Vendas[[#This Row],[Qtd]],Desc_TabelaToda,TB_Vendas[[#This Row],[Indice]],TRUE)</f>
        <v>0</v>
      </c>
      <c r="I42" s="43" cm="1">
        <f t="array" ref="I42">INDEX(Desc_TabelaToda,MATCH(TB_Vendas[[#This Row],[Qtd]],Desc_Quantidades,1),MATCH(_xlfn.XLOOKUP(TB_Vendas[[#This Row],[Código]],TB_Produtos[[#All],[Código]],TB_Produtos[[#All],[Categoria]]),Desc_Categorias,0))</f>
        <v>0</v>
      </c>
      <c r="J42" s="43">
        <f>_xlfn.XLOOKUP(TB_Vendas[[#This Row],[Vendedor]],Vendedores!$A$5:$A$9,Vendedores!$D$5:$D$9)</f>
        <v>0.15</v>
      </c>
      <c r="K42" s="43">
        <f>IF(TB_Vendas[[#This Row],[Desconto 
(Diretão)]]&lt;=TB_Vendas[[#This Row],[Desconto 
(Vendedor)]],TB_Vendas[[#This Row],[Desconto 
(Diretão)]],TB_Vendas[[#This Row],[Desconto 
(Vendedor)]])</f>
        <v>0</v>
      </c>
      <c r="L42" s="2">
        <f>TB_Vendas[[#This Row],[Preço Unitário]]*TB_Vendas[[#This Row],[Qtd]]</f>
        <v>145</v>
      </c>
      <c r="M42" s="1" t="s">
        <v>117</v>
      </c>
    </row>
    <row r="43" spans="1:13">
      <c r="A43" s="4">
        <f>MONTH(TB_Vendas[[#This Row],[Data]])</f>
        <v>4</v>
      </c>
      <c r="B43" s="3">
        <v>45043</v>
      </c>
      <c r="C43" s="4" t="s">
        <v>41</v>
      </c>
      <c r="D43" s="4" t="str">
        <f>_xlfn.XLOOKUP(TB_Vendas[[#This Row],[Código]],TB_Produtos[Código],TB_Produtos[Categoria])</f>
        <v>Vestuário</v>
      </c>
      <c r="E43" s="1">
        <v>4</v>
      </c>
      <c r="F43" s="7">
        <f>VLOOKUP(TB_Vendas[[#This Row],[Código]],Produtos!$B$6:$G$66,6,0)</f>
        <v>46.9</v>
      </c>
      <c r="G43" s="1">
        <f>_xlfn.XMATCH(TB_Vendas[[#This Row],[Categoria]],Desc_Categorias,0)</f>
        <v>3</v>
      </c>
      <c r="H43" s="43">
        <f>VLOOKUP(TB_Vendas[[#This Row],[Qtd]],Desc_TabelaToda,TB_Vendas[[#This Row],[Indice]],TRUE)</f>
        <v>0.2</v>
      </c>
      <c r="I43" s="43" cm="1">
        <f t="array" ref="I43">INDEX(Desc_TabelaToda,MATCH(TB_Vendas[[#This Row],[Qtd]],Desc_Quantidades,1),MATCH(_xlfn.XLOOKUP(TB_Vendas[[#This Row],[Código]],TB_Produtos[[#All],[Código]],TB_Produtos[[#All],[Categoria]]),Desc_Categorias,0))</f>
        <v>0.2</v>
      </c>
      <c r="J43" s="43">
        <f>_xlfn.XLOOKUP(TB_Vendas[[#This Row],[Vendedor]],Vendedores!$A$5:$A$9,Vendedores!$D$5:$D$9)</f>
        <v>0.2</v>
      </c>
      <c r="K43" s="43">
        <f>IF(TB_Vendas[[#This Row],[Desconto 
(Diretão)]]&lt;=TB_Vendas[[#This Row],[Desconto 
(Vendedor)]],TB_Vendas[[#This Row],[Desconto 
(Diretão)]],TB_Vendas[[#This Row],[Desconto 
(Vendedor)]])</f>
        <v>0.2</v>
      </c>
      <c r="L43" s="2">
        <f>TB_Vendas[[#This Row],[Preço Unitário]]*TB_Vendas[[#This Row],[Qtd]]</f>
        <v>187.6</v>
      </c>
      <c r="M43" s="1" t="s">
        <v>113</v>
      </c>
    </row>
    <row r="44" spans="1:13">
      <c r="A44" s="4">
        <f>MONTH(TB_Vendas[[#This Row],[Data]])</f>
        <v>5</v>
      </c>
      <c r="B44" s="3">
        <v>45054</v>
      </c>
      <c r="C44" s="4" t="s">
        <v>86</v>
      </c>
      <c r="D44" s="4" t="str">
        <f>_xlfn.XLOOKUP(TB_Vendas[[#This Row],[Código]],TB_Produtos[Código],TB_Produtos[Categoria])</f>
        <v>Vestuário</v>
      </c>
      <c r="E44" s="1">
        <v>2</v>
      </c>
      <c r="F44" s="7">
        <f>VLOOKUP(TB_Vendas[[#This Row],[Código]],Produtos!$B$6:$G$66,6,0)</f>
        <v>72.5</v>
      </c>
      <c r="G44" s="1">
        <f>_xlfn.XMATCH(TB_Vendas[[#This Row],[Categoria]],Desc_Categorias,0)</f>
        <v>3</v>
      </c>
      <c r="H44" s="43">
        <f>VLOOKUP(TB_Vendas[[#This Row],[Qtd]],Desc_TabelaToda,TB_Vendas[[#This Row],[Indice]],TRUE)</f>
        <v>0.15</v>
      </c>
      <c r="I44" s="43" cm="1">
        <f t="array" ref="I44">INDEX(Desc_TabelaToda,MATCH(TB_Vendas[[#This Row],[Qtd]],Desc_Quantidades,1),MATCH(_xlfn.XLOOKUP(TB_Vendas[[#This Row],[Código]],TB_Produtos[[#All],[Código]],TB_Produtos[[#All],[Categoria]]),Desc_Categorias,0))</f>
        <v>0.15</v>
      </c>
      <c r="J44" s="43">
        <f>_xlfn.XLOOKUP(TB_Vendas[[#This Row],[Vendedor]],Vendedores!$A$5:$A$9,Vendedores!$D$5:$D$9)</f>
        <v>0.15</v>
      </c>
      <c r="K44" s="43">
        <f>IF(TB_Vendas[[#This Row],[Desconto 
(Diretão)]]&lt;=TB_Vendas[[#This Row],[Desconto 
(Vendedor)]],TB_Vendas[[#This Row],[Desconto 
(Diretão)]],TB_Vendas[[#This Row],[Desconto 
(Vendedor)]])</f>
        <v>0.15</v>
      </c>
      <c r="L44" s="2">
        <f>TB_Vendas[[#This Row],[Preço Unitário]]*TB_Vendas[[#This Row],[Qtd]]</f>
        <v>145</v>
      </c>
      <c r="M44" s="1" t="s">
        <v>117</v>
      </c>
    </row>
    <row r="45" spans="1:13">
      <c r="A45" s="4">
        <f>MONTH(TB_Vendas[[#This Row],[Data]])</f>
        <v>5</v>
      </c>
      <c r="B45" s="3">
        <v>45055</v>
      </c>
      <c r="C45" s="4" t="s">
        <v>67</v>
      </c>
      <c r="D45" s="4" t="str">
        <f>_xlfn.XLOOKUP(TB_Vendas[[#This Row],[Código]],TB_Produtos[Código],TB_Produtos[Categoria])</f>
        <v>Vestuário</v>
      </c>
      <c r="E45" s="1">
        <v>3</v>
      </c>
      <c r="F45" s="7">
        <f>VLOOKUP(TB_Vendas[[#This Row],[Código]],Produtos!$B$6:$G$66,6,0)</f>
        <v>140</v>
      </c>
      <c r="G45" s="1">
        <f>_xlfn.XMATCH(TB_Vendas[[#This Row],[Categoria]],Desc_Categorias,0)</f>
        <v>3</v>
      </c>
      <c r="H45" s="43">
        <f>VLOOKUP(TB_Vendas[[#This Row],[Qtd]],Desc_TabelaToda,TB_Vendas[[#This Row],[Indice]],TRUE)</f>
        <v>0.2</v>
      </c>
      <c r="I45" s="43" cm="1">
        <f t="array" ref="I45">INDEX(Desc_TabelaToda,MATCH(TB_Vendas[[#This Row],[Qtd]],Desc_Quantidades,1),MATCH(_xlfn.XLOOKUP(TB_Vendas[[#This Row],[Código]],TB_Produtos[[#All],[Código]],TB_Produtos[[#All],[Categoria]]),Desc_Categorias,0))</f>
        <v>0.2</v>
      </c>
      <c r="J45" s="43">
        <f>_xlfn.XLOOKUP(TB_Vendas[[#This Row],[Vendedor]],Vendedores!$A$5:$A$9,Vendedores!$D$5:$D$9)</f>
        <v>0.2</v>
      </c>
      <c r="K45" s="43">
        <f>IF(TB_Vendas[[#This Row],[Desconto 
(Diretão)]]&lt;=TB_Vendas[[#This Row],[Desconto 
(Vendedor)]],TB_Vendas[[#This Row],[Desconto 
(Diretão)]],TB_Vendas[[#This Row],[Desconto 
(Vendedor)]])</f>
        <v>0.2</v>
      </c>
      <c r="L45" s="2">
        <f>TB_Vendas[[#This Row],[Preço Unitário]]*TB_Vendas[[#This Row],[Qtd]]</f>
        <v>420</v>
      </c>
      <c r="M45" s="1" t="s">
        <v>116</v>
      </c>
    </row>
    <row r="46" spans="1:13">
      <c r="A46" s="4">
        <f>MONTH(TB_Vendas[[#This Row],[Data]])</f>
        <v>5</v>
      </c>
      <c r="B46" s="3">
        <v>45056</v>
      </c>
      <c r="C46" s="4" t="s">
        <v>65</v>
      </c>
      <c r="D46" s="4" t="str">
        <f>_xlfn.XLOOKUP(TB_Vendas[[#This Row],[Código]],TB_Produtos[Código],TB_Produtos[Categoria])</f>
        <v>Vestuário</v>
      </c>
      <c r="E46" s="1">
        <v>1</v>
      </c>
      <c r="F46" s="7">
        <f>VLOOKUP(TB_Vendas[[#This Row],[Código]],Produtos!$B$6:$G$66,6,0)</f>
        <v>91.4</v>
      </c>
      <c r="G46" s="1">
        <f>_xlfn.XMATCH(TB_Vendas[[#This Row],[Categoria]],Desc_Categorias,0)</f>
        <v>3</v>
      </c>
      <c r="H46" s="43">
        <f>VLOOKUP(TB_Vendas[[#This Row],[Qtd]],Desc_TabelaToda,TB_Vendas[[#This Row],[Indice]],TRUE)</f>
        <v>0.1</v>
      </c>
      <c r="I46" s="43" cm="1">
        <f t="array" ref="I46">INDEX(Desc_TabelaToda,MATCH(TB_Vendas[[#This Row],[Qtd]],Desc_Quantidades,1),MATCH(_xlfn.XLOOKUP(TB_Vendas[[#This Row],[Código]],TB_Produtos[[#All],[Código]],TB_Produtos[[#All],[Categoria]]),Desc_Categorias,0))</f>
        <v>0.1</v>
      </c>
      <c r="J46" s="43">
        <f>_xlfn.XLOOKUP(TB_Vendas[[#This Row],[Vendedor]],Vendedores!$A$5:$A$9,Vendedores!$D$5:$D$9)</f>
        <v>0.15</v>
      </c>
      <c r="K46" s="43">
        <f>IF(TB_Vendas[[#This Row],[Desconto 
(Diretão)]]&lt;=TB_Vendas[[#This Row],[Desconto 
(Vendedor)]],TB_Vendas[[#This Row],[Desconto 
(Diretão)]],TB_Vendas[[#This Row],[Desconto 
(Vendedor)]])</f>
        <v>0.1</v>
      </c>
      <c r="L46" s="2">
        <f>TB_Vendas[[#This Row],[Preço Unitário]]*TB_Vendas[[#This Row],[Qtd]]</f>
        <v>91.4</v>
      </c>
      <c r="M46" s="1" t="s">
        <v>114</v>
      </c>
    </row>
    <row r="47" spans="1:13">
      <c r="A47" s="4">
        <f>MONTH(TB_Vendas[[#This Row],[Data]])</f>
        <v>5</v>
      </c>
      <c r="B47" s="3">
        <v>45057</v>
      </c>
      <c r="C47" s="4" t="s">
        <v>56</v>
      </c>
      <c r="D47" s="4" t="str">
        <f>_xlfn.XLOOKUP(TB_Vendas[[#This Row],[Código]],TB_Produtos[Código],TB_Produtos[Categoria])</f>
        <v>Acessórios</v>
      </c>
      <c r="E47" s="1">
        <v>2</v>
      </c>
      <c r="F47" s="7">
        <f>VLOOKUP(TB_Vendas[[#This Row],[Código]],Produtos!$B$6:$G$66,6,0)</f>
        <v>349.9</v>
      </c>
      <c r="G47" s="1">
        <f>_xlfn.XMATCH(TB_Vendas[[#This Row],[Categoria]],Desc_Categorias,0)</f>
        <v>2</v>
      </c>
      <c r="H47" s="43">
        <f>VLOOKUP(TB_Vendas[[#This Row],[Qtd]],Desc_TabelaToda,TB_Vendas[[#This Row],[Indice]],TRUE)</f>
        <v>0.05</v>
      </c>
      <c r="I47" s="43" cm="1">
        <f t="array" ref="I47">INDEX(Desc_TabelaToda,MATCH(TB_Vendas[[#This Row],[Qtd]],Desc_Quantidades,1),MATCH(_xlfn.XLOOKUP(TB_Vendas[[#This Row],[Código]],TB_Produtos[[#All],[Código]],TB_Produtos[[#All],[Categoria]]),Desc_Categorias,0))</f>
        <v>0.05</v>
      </c>
      <c r="J47" s="43">
        <f>_xlfn.XLOOKUP(TB_Vendas[[#This Row],[Vendedor]],Vendedores!$A$5:$A$9,Vendedores!$D$5:$D$9)</f>
        <v>0.2</v>
      </c>
      <c r="K47" s="43">
        <f>IF(TB_Vendas[[#This Row],[Desconto 
(Diretão)]]&lt;=TB_Vendas[[#This Row],[Desconto 
(Vendedor)]],TB_Vendas[[#This Row],[Desconto 
(Diretão)]],TB_Vendas[[#This Row],[Desconto 
(Vendedor)]])</f>
        <v>0.05</v>
      </c>
      <c r="L47" s="2">
        <f>TB_Vendas[[#This Row],[Preço Unitário]]*TB_Vendas[[#This Row],[Qtd]]</f>
        <v>699.8</v>
      </c>
      <c r="M47" s="1" t="s">
        <v>116</v>
      </c>
    </row>
    <row r="48" spans="1:13">
      <c r="A48" s="4">
        <f>MONTH(TB_Vendas[[#This Row],[Data]])</f>
        <v>5</v>
      </c>
      <c r="B48" s="3">
        <v>45058</v>
      </c>
      <c r="C48" s="4" t="s">
        <v>31</v>
      </c>
      <c r="D48" s="4" t="str">
        <f>_xlfn.XLOOKUP(TB_Vendas[[#This Row],[Código]],TB_Produtos[Código],TB_Produtos[Categoria])</f>
        <v>Vestuário</v>
      </c>
      <c r="E48" s="1">
        <v>3</v>
      </c>
      <c r="F48" s="7">
        <f>VLOOKUP(TB_Vendas[[#This Row],[Código]],Produtos!$B$6:$G$66,6,0)</f>
        <v>65.900000000000006</v>
      </c>
      <c r="G48" s="1">
        <f>_xlfn.XMATCH(TB_Vendas[[#This Row],[Categoria]],Desc_Categorias,0)</f>
        <v>3</v>
      </c>
      <c r="H48" s="43">
        <f>VLOOKUP(TB_Vendas[[#This Row],[Qtd]],Desc_TabelaToda,TB_Vendas[[#This Row],[Indice]],TRUE)</f>
        <v>0.2</v>
      </c>
      <c r="I48" s="43" cm="1">
        <f t="array" ref="I48">INDEX(Desc_TabelaToda,MATCH(TB_Vendas[[#This Row],[Qtd]],Desc_Quantidades,1),MATCH(_xlfn.XLOOKUP(TB_Vendas[[#This Row],[Código]],TB_Produtos[[#All],[Código]],TB_Produtos[[#All],[Categoria]]),Desc_Categorias,0))</f>
        <v>0.2</v>
      </c>
      <c r="J48" s="43">
        <f>_xlfn.XLOOKUP(TB_Vendas[[#This Row],[Vendedor]],Vendedores!$A$5:$A$9,Vendedores!$D$5:$D$9)</f>
        <v>0.15</v>
      </c>
      <c r="K48" s="43">
        <f>IF(TB_Vendas[[#This Row],[Desconto 
(Diretão)]]&lt;=TB_Vendas[[#This Row],[Desconto 
(Vendedor)]],TB_Vendas[[#This Row],[Desconto 
(Diretão)]],TB_Vendas[[#This Row],[Desconto 
(Vendedor)]])</f>
        <v>0.15</v>
      </c>
      <c r="L48" s="2">
        <f>TB_Vendas[[#This Row],[Preço Unitário]]*TB_Vendas[[#This Row],[Qtd]]</f>
        <v>197.70000000000002</v>
      </c>
      <c r="M48" s="1" t="s">
        <v>114</v>
      </c>
    </row>
    <row r="49" spans="1:13">
      <c r="A49" s="4">
        <f>MONTH(TB_Vendas[[#This Row],[Data]])</f>
        <v>5</v>
      </c>
      <c r="B49" s="3">
        <v>45061</v>
      </c>
      <c r="C49" s="4" t="s">
        <v>65</v>
      </c>
      <c r="D49" s="4" t="str">
        <f>_xlfn.XLOOKUP(TB_Vendas[[#This Row],[Código]],TB_Produtos[Código],TB_Produtos[Categoria])</f>
        <v>Vestuário</v>
      </c>
      <c r="E49" s="1">
        <v>2</v>
      </c>
      <c r="F49" s="7">
        <f>VLOOKUP(TB_Vendas[[#This Row],[Código]],Produtos!$B$6:$G$66,6,0)</f>
        <v>91.4</v>
      </c>
      <c r="G49" s="1">
        <f>_xlfn.XMATCH(TB_Vendas[[#This Row],[Categoria]],Desc_Categorias,0)</f>
        <v>3</v>
      </c>
      <c r="H49" s="43">
        <f>VLOOKUP(TB_Vendas[[#This Row],[Qtd]],Desc_TabelaToda,TB_Vendas[[#This Row],[Indice]],TRUE)</f>
        <v>0.15</v>
      </c>
      <c r="I49" s="43" cm="1">
        <f t="array" ref="I49">INDEX(Desc_TabelaToda,MATCH(TB_Vendas[[#This Row],[Qtd]],Desc_Quantidades,1),MATCH(_xlfn.XLOOKUP(TB_Vendas[[#This Row],[Código]],TB_Produtos[[#All],[Código]],TB_Produtos[[#All],[Categoria]]),Desc_Categorias,0))</f>
        <v>0.15</v>
      </c>
      <c r="J49" s="43">
        <f>_xlfn.XLOOKUP(TB_Vendas[[#This Row],[Vendedor]],Vendedores!$A$5:$A$9,Vendedores!$D$5:$D$9)</f>
        <v>0.2</v>
      </c>
      <c r="K49" s="43">
        <f>IF(TB_Vendas[[#This Row],[Desconto 
(Diretão)]]&lt;=TB_Vendas[[#This Row],[Desconto 
(Vendedor)]],TB_Vendas[[#This Row],[Desconto 
(Diretão)]],TB_Vendas[[#This Row],[Desconto 
(Vendedor)]])</f>
        <v>0.15</v>
      </c>
      <c r="L49" s="2">
        <f>TB_Vendas[[#This Row],[Preço Unitário]]*TB_Vendas[[#This Row],[Qtd]]</f>
        <v>182.8</v>
      </c>
      <c r="M49" s="1" t="s">
        <v>113</v>
      </c>
    </row>
    <row r="50" spans="1:13">
      <c r="A50" s="4">
        <f>MONTH(TB_Vendas[[#This Row],[Data]])</f>
        <v>5</v>
      </c>
      <c r="B50" s="3">
        <v>45064</v>
      </c>
      <c r="C50" s="4" t="s">
        <v>35</v>
      </c>
      <c r="D50" s="4" t="str">
        <f>_xlfn.XLOOKUP(TB_Vendas[[#This Row],[Código]],TB_Produtos[Código],TB_Produtos[Categoria])</f>
        <v>Acessórios</v>
      </c>
      <c r="E50" s="1">
        <v>4</v>
      </c>
      <c r="F50" s="7">
        <f>VLOOKUP(TB_Vendas[[#This Row],[Código]],Produtos!$B$6:$G$66,6,0)</f>
        <v>259.89999999999998</v>
      </c>
      <c r="G50" s="1">
        <f>_xlfn.XMATCH(TB_Vendas[[#This Row],[Categoria]],Desc_Categorias,0)</f>
        <v>2</v>
      </c>
      <c r="H50" s="43">
        <f>VLOOKUP(TB_Vendas[[#This Row],[Qtd]],Desc_TabelaToda,TB_Vendas[[#This Row],[Indice]],TRUE)</f>
        <v>0.15</v>
      </c>
      <c r="I50" s="43" cm="1">
        <f t="array" ref="I50">INDEX(Desc_TabelaToda,MATCH(TB_Vendas[[#This Row],[Qtd]],Desc_Quantidades,1),MATCH(_xlfn.XLOOKUP(TB_Vendas[[#This Row],[Código]],TB_Produtos[[#All],[Código]],TB_Produtos[[#All],[Categoria]]),Desc_Categorias,0))</f>
        <v>0.15</v>
      </c>
      <c r="J50" s="43">
        <f>_xlfn.XLOOKUP(TB_Vendas[[#This Row],[Vendedor]],Vendedores!$A$5:$A$9,Vendedores!$D$5:$D$9)</f>
        <v>0.15</v>
      </c>
      <c r="K50" s="43">
        <f>IF(TB_Vendas[[#This Row],[Desconto 
(Diretão)]]&lt;=TB_Vendas[[#This Row],[Desconto 
(Vendedor)]],TB_Vendas[[#This Row],[Desconto 
(Diretão)]],TB_Vendas[[#This Row],[Desconto 
(Vendedor)]])</f>
        <v>0.15</v>
      </c>
      <c r="L50" s="2">
        <f>TB_Vendas[[#This Row],[Preço Unitário]]*TB_Vendas[[#This Row],[Qtd]]</f>
        <v>1039.5999999999999</v>
      </c>
      <c r="M50" s="1" t="s">
        <v>114</v>
      </c>
    </row>
    <row r="51" spans="1:13">
      <c r="A51" s="4">
        <f>MONTH(TB_Vendas[[#This Row],[Data]])</f>
        <v>6</v>
      </c>
      <c r="B51" s="3">
        <v>45084</v>
      </c>
      <c r="C51" s="4" t="s">
        <v>34</v>
      </c>
      <c r="D51" s="4" t="str">
        <f>_xlfn.XLOOKUP(TB_Vendas[[#This Row],[Código]],TB_Produtos[Código],TB_Produtos[Categoria])</f>
        <v>Acessórios</v>
      </c>
      <c r="E51" s="1">
        <v>3</v>
      </c>
      <c r="F51" s="7">
        <f>VLOOKUP(TB_Vendas[[#This Row],[Código]],Produtos!$B$6:$G$66,6,0)</f>
        <v>145</v>
      </c>
      <c r="G51" s="1">
        <f>_xlfn.XMATCH(TB_Vendas[[#This Row],[Categoria]],Desc_Categorias,0)</f>
        <v>2</v>
      </c>
      <c r="H51" s="43">
        <f>VLOOKUP(TB_Vendas[[#This Row],[Qtd]],Desc_TabelaToda,TB_Vendas[[#This Row],[Indice]],TRUE)</f>
        <v>0.15</v>
      </c>
      <c r="I51" s="43" cm="1">
        <f t="array" ref="I51">INDEX(Desc_TabelaToda,MATCH(TB_Vendas[[#This Row],[Qtd]],Desc_Quantidades,1),MATCH(_xlfn.XLOOKUP(TB_Vendas[[#This Row],[Código]],TB_Produtos[[#All],[Código]],TB_Produtos[[#All],[Categoria]]),Desc_Categorias,0))</f>
        <v>0.15</v>
      </c>
      <c r="J51" s="43">
        <f>_xlfn.XLOOKUP(TB_Vendas[[#This Row],[Vendedor]],Vendedores!$A$5:$A$9,Vendedores!$D$5:$D$9)</f>
        <v>0.2</v>
      </c>
      <c r="K51" s="43">
        <f>IF(TB_Vendas[[#This Row],[Desconto 
(Diretão)]]&lt;=TB_Vendas[[#This Row],[Desconto 
(Vendedor)]],TB_Vendas[[#This Row],[Desconto 
(Diretão)]],TB_Vendas[[#This Row],[Desconto 
(Vendedor)]])</f>
        <v>0.15</v>
      </c>
      <c r="L51" s="2">
        <f>TB_Vendas[[#This Row],[Preço Unitário]]*TB_Vendas[[#This Row],[Qtd]]</f>
        <v>435</v>
      </c>
      <c r="M51" s="1" t="s">
        <v>113</v>
      </c>
    </row>
    <row r="52" spans="1:13">
      <c r="A52" s="4">
        <f>MONTH(TB_Vendas[[#This Row],[Data]])</f>
        <v>6</v>
      </c>
      <c r="B52" s="3">
        <v>45084</v>
      </c>
      <c r="C52" s="4" t="s">
        <v>68</v>
      </c>
      <c r="D52" s="4" t="str">
        <f>_xlfn.XLOOKUP(TB_Vendas[[#This Row],[Código]],TB_Produtos[Código],TB_Produtos[Categoria])</f>
        <v>Vestuário</v>
      </c>
      <c r="E52" s="1">
        <v>2</v>
      </c>
      <c r="F52" s="7">
        <f>VLOOKUP(TB_Vendas[[#This Row],[Código]],Produtos!$B$6:$G$66,6,0)</f>
        <v>142.9</v>
      </c>
      <c r="G52" s="1">
        <f>_xlfn.XMATCH(TB_Vendas[[#This Row],[Categoria]],Desc_Categorias,0)</f>
        <v>3</v>
      </c>
      <c r="H52" s="43">
        <f>VLOOKUP(TB_Vendas[[#This Row],[Qtd]],Desc_TabelaToda,TB_Vendas[[#This Row],[Indice]],TRUE)</f>
        <v>0.15</v>
      </c>
      <c r="I52" s="43" cm="1">
        <f t="array" ref="I52">INDEX(Desc_TabelaToda,MATCH(TB_Vendas[[#This Row],[Qtd]],Desc_Quantidades,1),MATCH(_xlfn.XLOOKUP(TB_Vendas[[#This Row],[Código]],TB_Produtos[[#All],[Código]],TB_Produtos[[#All],[Categoria]]),Desc_Categorias,0))</f>
        <v>0.15</v>
      </c>
      <c r="J52" s="43">
        <f>_xlfn.XLOOKUP(TB_Vendas[[#This Row],[Vendedor]],Vendedores!$A$5:$A$9,Vendedores!$D$5:$D$9)</f>
        <v>0.1</v>
      </c>
      <c r="K52" s="43">
        <f>IF(TB_Vendas[[#This Row],[Desconto 
(Diretão)]]&lt;=TB_Vendas[[#This Row],[Desconto 
(Vendedor)]],TB_Vendas[[#This Row],[Desconto 
(Diretão)]],TB_Vendas[[#This Row],[Desconto 
(Vendedor)]])</f>
        <v>0.1</v>
      </c>
      <c r="L52" s="2">
        <f>TB_Vendas[[#This Row],[Preço Unitário]]*TB_Vendas[[#This Row],[Qtd]]</f>
        <v>285.8</v>
      </c>
      <c r="M52" s="1" t="s">
        <v>115</v>
      </c>
    </row>
    <row r="53" spans="1:13">
      <c r="A53" s="4">
        <f>MONTH(TB_Vendas[[#This Row],[Data]])</f>
        <v>6</v>
      </c>
      <c r="B53" s="3">
        <v>45086</v>
      </c>
      <c r="C53" s="4" t="s">
        <v>109</v>
      </c>
      <c r="D53" s="4" t="str">
        <f>_xlfn.XLOOKUP(TB_Vendas[[#This Row],[Código]],TB_Produtos[Código],TB_Produtos[Categoria])</f>
        <v>Vestuário</v>
      </c>
      <c r="E53" s="1">
        <v>2</v>
      </c>
      <c r="F53" s="7">
        <f>VLOOKUP(TB_Vendas[[#This Row],[Código]],Produtos!$B$6:$G$66,6,0)</f>
        <v>180</v>
      </c>
      <c r="G53" s="1">
        <f>_xlfn.XMATCH(TB_Vendas[[#This Row],[Categoria]],Desc_Categorias,0)</f>
        <v>3</v>
      </c>
      <c r="H53" s="43">
        <f>VLOOKUP(TB_Vendas[[#This Row],[Qtd]],Desc_TabelaToda,TB_Vendas[[#This Row],[Indice]],TRUE)</f>
        <v>0.15</v>
      </c>
      <c r="I53" s="43" cm="1">
        <f t="array" ref="I53">INDEX(Desc_TabelaToda,MATCH(TB_Vendas[[#This Row],[Qtd]],Desc_Quantidades,1),MATCH(_xlfn.XLOOKUP(TB_Vendas[[#This Row],[Código]],TB_Produtos[[#All],[Código]],TB_Produtos[[#All],[Categoria]]),Desc_Categorias,0))</f>
        <v>0.15</v>
      </c>
      <c r="J53" s="43">
        <f>_xlfn.XLOOKUP(TB_Vendas[[#This Row],[Vendedor]],Vendedores!$A$5:$A$9,Vendedores!$D$5:$D$9)</f>
        <v>0.2</v>
      </c>
      <c r="K53" s="43">
        <f>IF(TB_Vendas[[#This Row],[Desconto 
(Diretão)]]&lt;=TB_Vendas[[#This Row],[Desconto 
(Vendedor)]],TB_Vendas[[#This Row],[Desconto 
(Diretão)]],TB_Vendas[[#This Row],[Desconto 
(Vendedor)]])</f>
        <v>0.15</v>
      </c>
      <c r="L53" s="2">
        <f>TB_Vendas[[#This Row],[Preço Unitário]]*TB_Vendas[[#This Row],[Qtd]]</f>
        <v>360</v>
      </c>
      <c r="M53" s="1" t="s">
        <v>113</v>
      </c>
    </row>
    <row r="54" spans="1:13">
      <c r="A54" s="4">
        <f>MONTH(TB_Vendas[[#This Row],[Data]])</f>
        <v>6</v>
      </c>
      <c r="B54" s="3">
        <v>45086</v>
      </c>
      <c r="C54" s="4" t="s">
        <v>45</v>
      </c>
      <c r="D54" s="4" t="str">
        <f>_xlfn.XLOOKUP(TB_Vendas[[#This Row],[Código]],TB_Produtos[Código],TB_Produtos[Categoria])</f>
        <v>Vestuário</v>
      </c>
      <c r="E54" s="1">
        <v>2</v>
      </c>
      <c r="F54" s="7">
        <f>VLOOKUP(TB_Vendas[[#This Row],[Código]],Produtos!$B$6:$G$66,6,0)</f>
        <v>42.5</v>
      </c>
      <c r="G54" s="1">
        <f>_xlfn.XMATCH(TB_Vendas[[#This Row],[Categoria]],Desc_Categorias,0)</f>
        <v>3</v>
      </c>
      <c r="H54" s="43">
        <f>VLOOKUP(TB_Vendas[[#This Row],[Qtd]],Desc_TabelaToda,TB_Vendas[[#This Row],[Indice]],TRUE)</f>
        <v>0.15</v>
      </c>
      <c r="I54" s="43" cm="1">
        <f t="array" ref="I54">INDEX(Desc_TabelaToda,MATCH(TB_Vendas[[#This Row],[Qtd]],Desc_Quantidades,1),MATCH(_xlfn.XLOOKUP(TB_Vendas[[#This Row],[Código]],TB_Produtos[[#All],[Código]],TB_Produtos[[#All],[Categoria]]),Desc_Categorias,0))</f>
        <v>0.15</v>
      </c>
      <c r="J54" s="43">
        <f>_xlfn.XLOOKUP(TB_Vendas[[#This Row],[Vendedor]],Vendedores!$A$5:$A$9,Vendedores!$D$5:$D$9)</f>
        <v>0.1</v>
      </c>
      <c r="K54" s="43">
        <f>IF(TB_Vendas[[#This Row],[Desconto 
(Diretão)]]&lt;=TB_Vendas[[#This Row],[Desconto 
(Vendedor)]],TB_Vendas[[#This Row],[Desconto 
(Diretão)]],TB_Vendas[[#This Row],[Desconto 
(Vendedor)]])</f>
        <v>0.1</v>
      </c>
      <c r="L54" s="2">
        <f>TB_Vendas[[#This Row],[Preço Unitário]]*TB_Vendas[[#This Row],[Qtd]]</f>
        <v>85</v>
      </c>
      <c r="M54" s="1" t="s">
        <v>115</v>
      </c>
    </row>
    <row r="55" spans="1:13">
      <c r="A55" s="4">
        <f>MONTH(TB_Vendas[[#This Row],[Data]])</f>
        <v>6</v>
      </c>
      <c r="B55" s="3">
        <v>45088</v>
      </c>
      <c r="C55" s="4" t="s">
        <v>31</v>
      </c>
      <c r="D55" s="4" t="str">
        <f>_xlfn.XLOOKUP(TB_Vendas[[#This Row],[Código]],TB_Produtos[Código],TB_Produtos[Categoria])</f>
        <v>Vestuário</v>
      </c>
      <c r="E55" s="1">
        <v>1</v>
      </c>
      <c r="F55" s="7">
        <f>VLOOKUP(TB_Vendas[[#This Row],[Código]],Produtos!$B$6:$G$66,6,0)</f>
        <v>65.900000000000006</v>
      </c>
      <c r="G55" s="1">
        <f>_xlfn.XMATCH(TB_Vendas[[#This Row],[Categoria]],Desc_Categorias,0)</f>
        <v>3</v>
      </c>
      <c r="H55" s="43">
        <f>VLOOKUP(TB_Vendas[[#This Row],[Qtd]],Desc_TabelaToda,TB_Vendas[[#This Row],[Indice]],TRUE)</f>
        <v>0.1</v>
      </c>
      <c r="I55" s="43" cm="1">
        <f t="array" ref="I55">INDEX(Desc_TabelaToda,MATCH(TB_Vendas[[#This Row],[Qtd]],Desc_Quantidades,1),MATCH(_xlfn.XLOOKUP(TB_Vendas[[#This Row],[Código]],TB_Produtos[[#All],[Código]],TB_Produtos[[#All],[Categoria]]),Desc_Categorias,0))</f>
        <v>0.1</v>
      </c>
      <c r="J55" s="43">
        <f>_xlfn.XLOOKUP(TB_Vendas[[#This Row],[Vendedor]],Vendedores!$A$5:$A$9,Vendedores!$D$5:$D$9)</f>
        <v>0.15</v>
      </c>
      <c r="K55" s="43">
        <f>IF(TB_Vendas[[#This Row],[Desconto 
(Diretão)]]&lt;=TB_Vendas[[#This Row],[Desconto 
(Vendedor)]],TB_Vendas[[#This Row],[Desconto 
(Diretão)]],TB_Vendas[[#This Row],[Desconto 
(Vendedor)]])</f>
        <v>0.1</v>
      </c>
      <c r="L55" s="2">
        <f>TB_Vendas[[#This Row],[Preço Unitário]]*TB_Vendas[[#This Row],[Qtd]]</f>
        <v>65.900000000000006</v>
      </c>
      <c r="M55" s="1" t="s">
        <v>114</v>
      </c>
    </row>
    <row r="56" spans="1:13">
      <c r="A56" s="4">
        <f>MONTH(TB_Vendas[[#This Row],[Data]])</f>
        <v>6</v>
      </c>
      <c r="B56" s="3">
        <v>45090</v>
      </c>
      <c r="C56" s="4" t="s">
        <v>106</v>
      </c>
      <c r="D56" s="4" t="str">
        <f>_xlfn.XLOOKUP(TB_Vendas[[#This Row],[Código]],TB_Produtos[Código],TB_Produtos[Categoria])</f>
        <v>Vestuário</v>
      </c>
      <c r="E56" s="1">
        <v>1</v>
      </c>
      <c r="F56" s="7">
        <f>VLOOKUP(TB_Vendas[[#This Row],[Código]],Produtos!$B$6:$G$66,6,0)</f>
        <v>180</v>
      </c>
      <c r="G56" s="1">
        <f>_xlfn.XMATCH(TB_Vendas[[#This Row],[Categoria]],Desc_Categorias,0)</f>
        <v>3</v>
      </c>
      <c r="H56" s="43">
        <f>VLOOKUP(TB_Vendas[[#This Row],[Qtd]],Desc_TabelaToda,TB_Vendas[[#This Row],[Indice]],TRUE)</f>
        <v>0.1</v>
      </c>
      <c r="I56" s="43" cm="1">
        <f t="array" ref="I56">INDEX(Desc_TabelaToda,MATCH(TB_Vendas[[#This Row],[Qtd]],Desc_Quantidades,1),MATCH(_xlfn.XLOOKUP(TB_Vendas[[#This Row],[Código]],TB_Produtos[[#All],[Código]],TB_Produtos[[#All],[Categoria]]),Desc_Categorias,0))</f>
        <v>0.1</v>
      </c>
      <c r="J56" s="43">
        <f>_xlfn.XLOOKUP(TB_Vendas[[#This Row],[Vendedor]],Vendedores!$A$5:$A$9,Vendedores!$D$5:$D$9)</f>
        <v>0.1</v>
      </c>
      <c r="K56" s="43">
        <f>IF(TB_Vendas[[#This Row],[Desconto 
(Diretão)]]&lt;=TB_Vendas[[#This Row],[Desconto 
(Vendedor)]],TB_Vendas[[#This Row],[Desconto 
(Diretão)]],TB_Vendas[[#This Row],[Desconto 
(Vendedor)]])</f>
        <v>0.1</v>
      </c>
      <c r="L56" s="2">
        <f>TB_Vendas[[#This Row],[Preço Unitário]]*TB_Vendas[[#This Row],[Qtd]]</f>
        <v>180</v>
      </c>
      <c r="M56" s="1" t="s">
        <v>115</v>
      </c>
    </row>
    <row r="57" spans="1:13">
      <c r="A57" s="4">
        <f>MONTH(TB_Vendas[[#This Row],[Data]])</f>
        <v>6</v>
      </c>
      <c r="B57" s="3">
        <v>45093</v>
      </c>
      <c r="C57" s="4" t="s">
        <v>96</v>
      </c>
      <c r="D57" s="4" t="str">
        <f>_xlfn.XLOOKUP(TB_Vendas[[#This Row],[Código]],TB_Produtos[Código],TB_Produtos[Categoria])</f>
        <v>Vestuário</v>
      </c>
      <c r="E57" s="1">
        <v>3</v>
      </c>
      <c r="F57" s="7">
        <f>VLOOKUP(TB_Vendas[[#This Row],[Código]],Produtos!$B$6:$G$66,6,0)</f>
        <v>32.9</v>
      </c>
      <c r="G57" s="1">
        <f>_xlfn.XMATCH(TB_Vendas[[#This Row],[Categoria]],Desc_Categorias,0)</f>
        <v>3</v>
      </c>
      <c r="H57" s="43">
        <f>VLOOKUP(TB_Vendas[[#This Row],[Qtd]],Desc_TabelaToda,TB_Vendas[[#This Row],[Indice]],TRUE)</f>
        <v>0.2</v>
      </c>
      <c r="I57" s="43" cm="1">
        <f t="array" ref="I57">INDEX(Desc_TabelaToda,MATCH(TB_Vendas[[#This Row],[Qtd]],Desc_Quantidades,1),MATCH(_xlfn.XLOOKUP(TB_Vendas[[#This Row],[Código]],TB_Produtos[[#All],[Código]],TB_Produtos[[#All],[Categoria]]),Desc_Categorias,0))</f>
        <v>0.2</v>
      </c>
      <c r="J57" s="43">
        <f>_xlfn.XLOOKUP(TB_Vendas[[#This Row],[Vendedor]],Vendedores!$A$5:$A$9,Vendedores!$D$5:$D$9)</f>
        <v>0.15</v>
      </c>
      <c r="K57" s="43">
        <f>IF(TB_Vendas[[#This Row],[Desconto 
(Diretão)]]&lt;=TB_Vendas[[#This Row],[Desconto 
(Vendedor)]],TB_Vendas[[#This Row],[Desconto 
(Diretão)]],TB_Vendas[[#This Row],[Desconto 
(Vendedor)]])</f>
        <v>0.15</v>
      </c>
      <c r="L57" s="2">
        <f>TB_Vendas[[#This Row],[Preço Unitário]]*TB_Vendas[[#This Row],[Qtd]]</f>
        <v>98.699999999999989</v>
      </c>
      <c r="M57" s="1" t="s">
        <v>114</v>
      </c>
    </row>
    <row r="58" spans="1:13">
      <c r="A58" s="4">
        <f>MONTH(TB_Vendas[[#This Row],[Data]])</f>
        <v>6</v>
      </c>
      <c r="B58" s="3">
        <v>45093</v>
      </c>
      <c r="C58" s="4" t="s">
        <v>39</v>
      </c>
      <c r="D58" s="4" t="str">
        <f>_xlfn.XLOOKUP(TB_Vendas[[#This Row],[Código]],TB_Produtos[Código],TB_Produtos[Categoria])</f>
        <v>Vestuário</v>
      </c>
      <c r="E58" s="1">
        <v>4</v>
      </c>
      <c r="F58" s="7">
        <f>VLOOKUP(TB_Vendas[[#This Row],[Código]],Produtos!$B$6:$G$66,6,0)</f>
        <v>92.9</v>
      </c>
      <c r="G58" s="1">
        <f>_xlfn.XMATCH(TB_Vendas[[#This Row],[Categoria]],Desc_Categorias,0)</f>
        <v>3</v>
      </c>
      <c r="H58" s="43">
        <f>VLOOKUP(TB_Vendas[[#This Row],[Qtd]],Desc_TabelaToda,TB_Vendas[[#This Row],[Indice]],TRUE)</f>
        <v>0.2</v>
      </c>
      <c r="I58" s="43" cm="1">
        <f t="array" ref="I58">INDEX(Desc_TabelaToda,MATCH(TB_Vendas[[#This Row],[Qtd]],Desc_Quantidades,1),MATCH(_xlfn.XLOOKUP(TB_Vendas[[#This Row],[Código]],TB_Produtos[[#All],[Código]],TB_Produtos[[#All],[Categoria]]),Desc_Categorias,0))</f>
        <v>0.2</v>
      </c>
      <c r="J58" s="43">
        <f>_xlfn.XLOOKUP(TB_Vendas[[#This Row],[Vendedor]],Vendedores!$A$5:$A$9,Vendedores!$D$5:$D$9)</f>
        <v>0.2</v>
      </c>
      <c r="K58" s="43">
        <f>IF(TB_Vendas[[#This Row],[Desconto 
(Diretão)]]&lt;=TB_Vendas[[#This Row],[Desconto 
(Vendedor)]],TB_Vendas[[#This Row],[Desconto 
(Diretão)]],TB_Vendas[[#This Row],[Desconto 
(Vendedor)]])</f>
        <v>0.2</v>
      </c>
      <c r="L58" s="2">
        <f>TB_Vendas[[#This Row],[Preço Unitário]]*TB_Vendas[[#This Row],[Qtd]]</f>
        <v>371.6</v>
      </c>
      <c r="M58" s="1" t="s">
        <v>113</v>
      </c>
    </row>
    <row r="59" spans="1:13">
      <c r="A59" s="4">
        <f>MONTH(TB_Vendas[[#This Row],[Data]])</f>
        <v>6</v>
      </c>
      <c r="B59" s="3">
        <v>45094</v>
      </c>
      <c r="C59" s="4" t="s">
        <v>63</v>
      </c>
      <c r="D59" s="4" t="str">
        <f>_xlfn.XLOOKUP(TB_Vendas[[#This Row],[Código]],TB_Produtos[Código],TB_Produtos[Categoria])</f>
        <v>Calçado</v>
      </c>
      <c r="E59" s="1">
        <v>2</v>
      </c>
      <c r="F59" s="7">
        <f>VLOOKUP(TB_Vendas[[#This Row],[Código]],Produtos!$B$6:$G$66,6,0)</f>
        <v>259.89999999999998</v>
      </c>
      <c r="G59" s="1">
        <f>_xlfn.XMATCH(TB_Vendas[[#This Row],[Categoria]],Desc_Categorias,0)</f>
        <v>4</v>
      </c>
      <c r="H59" s="43">
        <f>VLOOKUP(TB_Vendas[[#This Row],[Qtd]],Desc_TabelaToda,TB_Vendas[[#This Row],[Indice]],TRUE)</f>
        <v>0.1</v>
      </c>
      <c r="I59" s="43" cm="1">
        <f t="array" ref="I59">INDEX(Desc_TabelaToda,MATCH(TB_Vendas[[#This Row],[Qtd]],Desc_Quantidades,1),MATCH(_xlfn.XLOOKUP(TB_Vendas[[#This Row],[Código]],TB_Produtos[[#All],[Código]],TB_Produtos[[#All],[Categoria]]),Desc_Categorias,0))</f>
        <v>0.1</v>
      </c>
      <c r="J59" s="43">
        <f>_xlfn.XLOOKUP(TB_Vendas[[#This Row],[Vendedor]],Vendedores!$A$5:$A$9,Vendedores!$D$5:$D$9)</f>
        <v>0.1</v>
      </c>
      <c r="K59" s="43">
        <f>IF(TB_Vendas[[#This Row],[Desconto 
(Diretão)]]&lt;=TB_Vendas[[#This Row],[Desconto 
(Vendedor)]],TB_Vendas[[#This Row],[Desconto 
(Diretão)]],TB_Vendas[[#This Row],[Desconto 
(Vendedor)]])</f>
        <v>0.1</v>
      </c>
      <c r="L59" s="2">
        <f>TB_Vendas[[#This Row],[Preço Unitário]]*TB_Vendas[[#This Row],[Qtd]]</f>
        <v>519.79999999999995</v>
      </c>
      <c r="M59" s="1" t="s">
        <v>115</v>
      </c>
    </row>
    <row r="60" spans="1:13">
      <c r="A60" s="4">
        <f>MONTH(TB_Vendas[[#This Row],[Data]])</f>
        <v>6</v>
      </c>
      <c r="B60" s="3">
        <v>45097</v>
      </c>
      <c r="C60" s="4" t="s">
        <v>54</v>
      </c>
      <c r="D60" s="4" t="str">
        <f>_xlfn.XLOOKUP(TB_Vendas[[#This Row],[Código]],TB_Produtos[Código],TB_Produtos[Categoria])</f>
        <v>Vestuário</v>
      </c>
      <c r="E60" s="1">
        <v>1</v>
      </c>
      <c r="F60" s="7">
        <f>VLOOKUP(TB_Vendas[[#This Row],[Código]],Produtos!$B$6:$G$66,6,0)</f>
        <v>259.89999999999998</v>
      </c>
      <c r="G60" s="1">
        <f>_xlfn.XMATCH(TB_Vendas[[#This Row],[Categoria]],Desc_Categorias,0)</f>
        <v>3</v>
      </c>
      <c r="H60" s="43">
        <f>VLOOKUP(TB_Vendas[[#This Row],[Qtd]],Desc_TabelaToda,TB_Vendas[[#This Row],[Indice]],TRUE)</f>
        <v>0.1</v>
      </c>
      <c r="I60" s="43" cm="1">
        <f t="array" ref="I60">INDEX(Desc_TabelaToda,MATCH(TB_Vendas[[#This Row],[Qtd]],Desc_Quantidades,1),MATCH(_xlfn.XLOOKUP(TB_Vendas[[#This Row],[Código]],TB_Produtos[[#All],[Código]],TB_Produtos[[#All],[Categoria]]),Desc_Categorias,0))</f>
        <v>0.1</v>
      </c>
      <c r="J60" s="43">
        <f>_xlfn.XLOOKUP(TB_Vendas[[#This Row],[Vendedor]],Vendedores!$A$5:$A$9,Vendedores!$D$5:$D$9)</f>
        <v>0.15</v>
      </c>
      <c r="K60" s="43">
        <f>IF(TB_Vendas[[#This Row],[Desconto 
(Diretão)]]&lt;=TB_Vendas[[#This Row],[Desconto 
(Vendedor)]],TB_Vendas[[#This Row],[Desconto 
(Diretão)]],TB_Vendas[[#This Row],[Desconto 
(Vendedor)]])</f>
        <v>0.1</v>
      </c>
      <c r="L60" s="2">
        <f>TB_Vendas[[#This Row],[Preço Unitário]]*TB_Vendas[[#This Row],[Qtd]]</f>
        <v>259.89999999999998</v>
      </c>
      <c r="M60" s="1" t="s">
        <v>117</v>
      </c>
    </row>
    <row r="61" spans="1:13">
      <c r="A61" s="4">
        <f>MONTH(TB_Vendas[[#This Row],[Data]])</f>
        <v>6</v>
      </c>
      <c r="B61" s="3">
        <v>45105</v>
      </c>
      <c r="C61" s="4" t="s">
        <v>45</v>
      </c>
      <c r="D61" s="4" t="str">
        <f>_xlfn.XLOOKUP(TB_Vendas[[#This Row],[Código]],TB_Produtos[Código],TB_Produtos[Categoria])</f>
        <v>Vestuário</v>
      </c>
      <c r="E61" s="1">
        <v>5</v>
      </c>
      <c r="F61" s="7">
        <f>VLOOKUP(TB_Vendas[[#This Row],[Código]],Produtos!$B$6:$G$66,6,0)</f>
        <v>42.5</v>
      </c>
      <c r="G61" s="1">
        <f>_xlfn.XMATCH(TB_Vendas[[#This Row],[Categoria]],Desc_Categorias,0)</f>
        <v>3</v>
      </c>
      <c r="H61" s="43">
        <f>VLOOKUP(TB_Vendas[[#This Row],[Qtd]],Desc_TabelaToda,TB_Vendas[[#This Row],[Indice]],TRUE)</f>
        <v>0.25</v>
      </c>
      <c r="I61" s="43" cm="1">
        <f t="array" ref="I61">INDEX(Desc_TabelaToda,MATCH(TB_Vendas[[#This Row],[Qtd]],Desc_Quantidades,1),MATCH(_xlfn.XLOOKUP(TB_Vendas[[#This Row],[Código]],TB_Produtos[[#All],[Código]],TB_Produtos[[#All],[Categoria]]),Desc_Categorias,0))</f>
        <v>0.25</v>
      </c>
      <c r="J61" s="43">
        <f>_xlfn.XLOOKUP(TB_Vendas[[#This Row],[Vendedor]],Vendedores!$A$5:$A$9,Vendedores!$D$5:$D$9)</f>
        <v>0.15</v>
      </c>
      <c r="K61" s="43">
        <f>IF(TB_Vendas[[#This Row],[Desconto 
(Diretão)]]&lt;=TB_Vendas[[#This Row],[Desconto 
(Vendedor)]],TB_Vendas[[#This Row],[Desconto 
(Diretão)]],TB_Vendas[[#This Row],[Desconto 
(Vendedor)]])</f>
        <v>0.15</v>
      </c>
      <c r="L61" s="2">
        <f>TB_Vendas[[#This Row],[Preço Unitário]]*TB_Vendas[[#This Row],[Qtd]]</f>
        <v>212.5</v>
      </c>
      <c r="M61" s="1" t="s">
        <v>117</v>
      </c>
    </row>
    <row r="62" spans="1:13">
      <c r="A62" s="4">
        <f>MONTH(TB_Vendas[[#This Row],[Data]])</f>
        <v>6</v>
      </c>
      <c r="B62" s="3">
        <v>45105</v>
      </c>
      <c r="C62" s="4" t="s">
        <v>96</v>
      </c>
      <c r="D62" s="4" t="str">
        <f>_xlfn.XLOOKUP(TB_Vendas[[#This Row],[Código]],TB_Produtos[Código],TB_Produtos[Categoria])</f>
        <v>Vestuário</v>
      </c>
      <c r="E62" s="1">
        <v>2</v>
      </c>
      <c r="F62" s="7">
        <f>VLOOKUP(TB_Vendas[[#This Row],[Código]],Produtos!$B$6:$G$66,6,0)</f>
        <v>32.9</v>
      </c>
      <c r="G62" s="1">
        <f>_xlfn.XMATCH(TB_Vendas[[#This Row],[Categoria]],Desc_Categorias,0)</f>
        <v>3</v>
      </c>
      <c r="H62" s="43">
        <f>VLOOKUP(TB_Vendas[[#This Row],[Qtd]],Desc_TabelaToda,TB_Vendas[[#This Row],[Indice]],TRUE)</f>
        <v>0.15</v>
      </c>
      <c r="I62" s="43" cm="1">
        <f t="array" ref="I62">INDEX(Desc_TabelaToda,MATCH(TB_Vendas[[#This Row],[Qtd]],Desc_Quantidades,1),MATCH(_xlfn.XLOOKUP(TB_Vendas[[#This Row],[Código]],TB_Produtos[[#All],[Código]],TB_Produtos[[#All],[Categoria]]),Desc_Categorias,0))</f>
        <v>0.15</v>
      </c>
      <c r="J62" s="43">
        <f>_xlfn.XLOOKUP(TB_Vendas[[#This Row],[Vendedor]],Vendedores!$A$5:$A$9,Vendedores!$D$5:$D$9)</f>
        <v>0.15</v>
      </c>
      <c r="K62" s="43">
        <f>IF(TB_Vendas[[#This Row],[Desconto 
(Diretão)]]&lt;=TB_Vendas[[#This Row],[Desconto 
(Vendedor)]],TB_Vendas[[#This Row],[Desconto 
(Diretão)]],TB_Vendas[[#This Row],[Desconto 
(Vendedor)]])</f>
        <v>0.15</v>
      </c>
      <c r="L62" s="2">
        <f>TB_Vendas[[#This Row],[Preço Unitário]]*TB_Vendas[[#This Row],[Qtd]]</f>
        <v>65.8</v>
      </c>
      <c r="M62" s="1" t="s">
        <v>117</v>
      </c>
    </row>
    <row r="63" spans="1:13">
      <c r="A63" s="4">
        <f>MONTH(TB_Vendas[[#This Row],[Data]])</f>
        <v>6</v>
      </c>
      <c r="B63" s="3">
        <v>45106</v>
      </c>
      <c r="C63" s="4" t="s">
        <v>39</v>
      </c>
      <c r="D63" s="4" t="str">
        <f>_xlfn.XLOOKUP(TB_Vendas[[#This Row],[Código]],TB_Produtos[Código],TB_Produtos[Categoria])</f>
        <v>Vestuário</v>
      </c>
      <c r="E63" s="1">
        <v>3</v>
      </c>
      <c r="F63" s="7">
        <f>VLOOKUP(TB_Vendas[[#This Row],[Código]],Produtos!$B$6:$G$66,6,0)</f>
        <v>92.9</v>
      </c>
      <c r="G63" s="1">
        <f>_xlfn.XMATCH(TB_Vendas[[#This Row],[Categoria]],Desc_Categorias,0)</f>
        <v>3</v>
      </c>
      <c r="H63" s="43">
        <f>VLOOKUP(TB_Vendas[[#This Row],[Qtd]],Desc_TabelaToda,TB_Vendas[[#This Row],[Indice]],TRUE)</f>
        <v>0.2</v>
      </c>
      <c r="I63" s="43" cm="1">
        <f t="array" ref="I63">INDEX(Desc_TabelaToda,MATCH(TB_Vendas[[#This Row],[Qtd]],Desc_Quantidades,1),MATCH(_xlfn.XLOOKUP(TB_Vendas[[#This Row],[Código]],TB_Produtos[[#All],[Código]],TB_Produtos[[#All],[Categoria]]),Desc_Categorias,0))</f>
        <v>0.2</v>
      </c>
      <c r="J63" s="43">
        <f>_xlfn.XLOOKUP(TB_Vendas[[#This Row],[Vendedor]],Vendedores!$A$5:$A$9,Vendedores!$D$5:$D$9)</f>
        <v>0.2</v>
      </c>
      <c r="K63" s="43">
        <f>IF(TB_Vendas[[#This Row],[Desconto 
(Diretão)]]&lt;=TB_Vendas[[#This Row],[Desconto 
(Vendedor)]],TB_Vendas[[#This Row],[Desconto 
(Diretão)]],TB_Vendas[[#This Row],[Desconto 
(Vendedor)]])</f>
        <v>0.2</v>
      </c>
      <c r="L63" s="2">
        <f>TB_Vendas[[#This Row],[Preço Unitário]]*TB_Vendas[[#This Row],[Qtd]]</f>
        <v>278.70000000000005</v>
      </c>
      <c r="M63" s="1" t="s">
        <v>113</v>
      </c>
    </row>
    <row r="64" spans="1:13">
      <c r="A64" s="1">
        <f>MONTH(TB_Vendas[[#This Row],[Data]])</f>
        <v>6</v>
      </c>
      <c r="B64" s="3">
        <v>45107</v>
      </c>
      <c r="C64" s="4" t="s">
        <v>46</v>
      </c>
      <c r="D64" s="4" t="str">
        <f>_xlfn.XLOOKUP(TB_Vendas[[#This Row],[Código]],TB_Produtos[Código],TB_Produtos[Categoria])</f>
        <v>Vestuário</v>
      </c>
      <c r="E64" s="1">
        <v>10</v>
      </c>
      <c r="F64" s="7">
        <f>VLOOKUP(TB_Vendas[[#This Row],[Código]],Produtos!$B$6:$G$66,6,0)</f>
        <v>25.9</v>
      </c>
      <c r="G64" s="1">
        <f>_xlfn.XMATCH(TB_Vendas[[#This Row],[Categoria]],Desc_Categorias,0)</f>
        <v>3</v>
      </c>
      <c r="H64" s="43">
        <f>VLOOKUP(TB_Vendas[[#This Row],[Qtd]],Desc_TabelaToda,TB_Vendas[[#This Row],[Indice]],TRUE)</f>
        <v>0.3</v>
      </c>
      <c r="I64" s="43" cm="1">
        <f t="array" ref="I64">INDEX(Desc_TabelaToda,MATCH(TB_Vendas[[#This Row],[Qtd]],Desc_Quantidades,1),MATCH(_xlfn.XLOOKUP(TB_Vendas[[#This Row],[Código]],TB_Produtos[[#All],[Código]],TB_Produtos[[#All],[Categoria]]),Desc_Categorias,0))</f>
        <v>0.3</v>
      </c>
      <c r="J64" s="43">
        <f>_xlfn.XLOOKUP(TB_Vendas[[#This Row],[Vendedor]],Vendedores!$A$5:$A$9,Vendedores!$D$5:$D$9)</f>
        <v>0.2</v>
      </c>
      <c r="K64" s="43">
        <f>IF(TB_Vendas[[#This Row],[Desconto 
(Diretão)]]&lt;=TB_Vendas[[#This Row],[Desconto 
(Vendedor)]],TB_Vendas[[#This Row],[Desconto 
(Diretão)]],TB_Vendas[[#This Row],[Desconto 
(Vendedor)]])</f>
        <v>0.2</v>
      </c>
      <c r="L64" s="2">
        <f>TB_Vendas[[#This Row],[Preço Unitário]]*TB_Vendas[[#This Row],[Qtd]]</f>
        <v>259</v>
      </c>
      <c r="M64" s="1" t="s">
        <v>113</v>
      </c>
    </row>
    <row r="65" spans="1:13">
      <c r="A65" s="1">
        <f>MONTH(TB_Vendas[[#This Row],[Data]])</f>
        <v>7</v>
      </c>
      <c r="B65" s="3">
        <v>45112</v>
      </c>
      <c r="C65" s="4" t="s">
        <v>88</v>
      </c>
      <c r="D65" s="4" t="str">
        <f>_xlfn.XLOOKUP(TB_Vendas[[#This Row],[Código]],TB_Produtos[Código],TB_Produtos[Categoria])</f>
        <v>Vestuário</v>
      </c>
      <c r="E65" s="1">
        <v>1</v>
      </c>
      <c r="F65" s="7">
        <f>VLOOKUP(TB_Vendas[[#This Row],[Código]],Produtos!$B$6:$G$66,6,0)</f>
        <v>72.5</v>
      </c>
      <c r="G65" s="1">
        <f>_xlfn.XMATCH(TB_Vendas[[#This Row],[Categoria]],Desc_Categorias,0)</f>
        <v>3</v>
      </c>
      <c r="H65" s="43">
        <f>VLOOKUP(TB_Vendas[[#This Row],[Qtd]],Desc_TabelaToda,TB_Vendas[[#This Row],[Indice]],TRUE)</f>
        <v>0.1</v>
      </c>
      <c r="I65" s="43" cm="1">
        <f t="array" ref="I65">INDEX(Desc_TabelaToda,MATCH(TB_Vendas[[#This Row],[Qtd]],Desc_Quantidades,1),MATCH(_xlfn.XLOOKUP(TB_Vendas[[#This Row],[Código]],TB_Produtos[[#All],[Código]],TB_Produtos[[#All],[Categoria]]),Desc_Categorias,0))</f>
        <v>0.1</v>
      </c>
      <c r="J65" s="43">
        <f>_xlfn.XLOOKUP(TB_Vendas[[#This Row],[Vendedor]],Vendedores!$A$5:$A$9,Vendedores!$D$5:$D$9)</f>
        <v>0.15</v>
      </c>
      <c r="K65" s="43">
        <f>IF(TB_Vendas[[#This Row],[Desconto 
(Diretão)]]&lt;=TB_Vendas[[#This Row],[Desconto 
(Vendedor)]],TB_Vendas[[#This Row],[Desconto 
(Diretão)]],TB_Vendas[[#This Row],[Desconto 
(Vendedor)]])</f>
        <v>0.1</v>
      </c>
      <c r="L65" s="2">
        <f>TB_Vendas[[#This Row],[Preço Unitário]]*TB_Vendas[[#This Row],[Qtd]]</f>
        <v>72.5</v>
      </c>
      <c r="M65" s="1" t="s">
        <v>114</v>
      </c>
    </row>
    <row r="66" spans="1:13">
      <c r="A66" s="1">
        <f>MONTH(TB_Vendas[[#This Row],[Data]])</f>
        <v>7</v>
      </c>
      <c r="B66" s="3">
        <v>45113</v>
      </c>
      <c r="C66" s="4" t="s">
        <v>51</v>
      </c>
      <c r="D66" s="4" t="str">
        <f>_xlfn.XLOOKUP(TB_Vendas[[#This Row],[Código]],TB_Produtos[Código],TB_Produtos[Categoria])</f>
        <v>Vestuário</v>
      </c>
      <c r="E66" s="1">
        <v>4</v>
      </c>
      <c r="F66" s="7">
        <f>VLOOKUP(TB_Vendas[[#This Row],[Código]],Produtos!$B$6:$G$66,6,0)</f>
        <v>302.89999999999998</v>
      </c>
      <c r="G66" s="1">
        <f>_xlfn.XMATCH(TB_Vendas[[#This Row],[Categoria]],Desc_Categorias,0)</f>
        <v>3</v>
      </c>
      <c r="H66" s="43">
        <f>VLOOKUP(TB_Vendas[[#This Row],[Qtd]],Desc_TabelaToda,TB_Vendas[[#This Row],[Indice]],TRUE)</f>
        <v>0.2</v>
      </c>
      <c r="I66" s="43" cm="1">
        <f t="array" ref="I66">INDEX(Desc_TabelaToda,MATCH(TB_Vendas[[#This Row],[Qtd]],Desc_Quantidades,1),MATCH(_xlfn.XLOOKUP(TB_Vendas[[#This Row],[Código]],TB_Produtos[[#All],[Código]],TB_Produtos[[#All],[Categoria]]),Desc_Categorias,0))</f>
        <v>0.2</v>
      </c>
      <c r="J66" s="43">
        <f>_xlfn.XLOOKUP(TB_Vendas[[#This Row],[Vendedor]],Vendedores!$A$5:$A$9,Vendedores!$D$5:$D$9)</f>
        <v>0.15</v>
      </c>
      <c r="K66" s="43">
        <f>IF(TB_Vendas[[#This Row],[Desconto 
(Diretão)]]&lt;=TB_Vendas[[#This Row],[Desconto 
(Vendedor)]],TB_Vendas[[#This Row],[Desconto 
(Diretão)]],TB_Vendas[[#This Row],[Desconto 
(Vendedor)]])</f>
        <v>0.15</v>
      </c>
      <c r="L66" s="2">
        <f>TB_Vendas[[#This Row],[Preço Unitário]]*TB_Vendas[[#This Row],[Qtd]]</f>
        <v>1211.5999999999999</v>
      </c>
      <c r="M66" s="1" t="s">
        <v>117</v>
      </c>
    </row>
    <row r="67" spans="1:13">
      <c r="A67" s="1">
        <f>MONTH(TB_Vendas[[#This Row],[Data]])</f>
        <v>7</v>
      </c>
      <c r="B67" s="3">
        <v>45114</v>
      </c>
      <c r="C67" s="4" t="s">
        <v>93</v>
      </c>
      <c r="D67" s="4" t="str">
        <f>_xlfn.XLOOKUP(TB_Vendas[[#This Row],[Código]],TB_Produtos[Código],TB_Produtos[Categoria])</f>
        <v>Vestuário</v>
      </c>
      <c r="E67" s="1">
        <v>8</v>
      </c>
      <c r="F67" s="7">
        <f>VLOOKUP(TB_Vendas[[#This Row],[Código]],Produtos!$B$6:$G$66,6,0)</f>
        <v>289.89999999999998</v>
      </c>
      <c r="G67" s="1">
        <f>_xlfn.XMATCH(TB_Vendas[[#This Row],[Categoria]],Desc_Categorias,0)</f>
        <v>3</v>
      </c>
      <c r="H67" s="43">
        <f>VLOOKUP(TB_Vendas[[#This Row],[Qtd]],Desc_TabelaToda,TB_Vendas[[#This Row],[Indice]],TRUE)</f>
        <v>0.25</v>
      </c>
      <c r="I67" s="43" cm="1">
        <f t="array" ref="I67">INDEX(Desc_TabelaToda,MATCH(TB_Vendas[[#This Row],[Qtd]],Desc_Quantidades,1),MATCH(_xlfn.XLOOKUP(TB_Vendas[[#This Row],[Código]],TB_Produtos[[#All],[Código]],TB_Produtos[[#All],[Categoria]]),Desc_Categorias,0))</f>
        <v>0.25</v>
      </c>
      <c r="J67" s="43">
        <f>_xlfn.XLOOKUP(TB_Vendas[[#This Row],[Vendedor]],Vendedores!$A$5:$A$9,Vendedores!$D$5:$D$9)</f>
        <v>0.2</v>
      </c>
      <c r="K67" s="43">
        <f>IF(TB_Vendas[[#This Row],[Desconto 
(Diretão)]]&lt;=TB_Vendas[[#This Row],[Desconto 
(Vendedor)]],TB_Vendas[[#This Row],[Desconto 
(Diretão)]],TB_Vendas[[#This Row],[Desconto 
(Vendedor)]])</f>
        <v>0.2</v>
      </c>
      <c r="L67" s="2">
        <f>TB_Vendas[[#This Row],[Preço Unitário]]*TB_Vendas[[#This Row],[Qtd]]</f>
        <v>2319.1999999999998</v>
      </c>
      <c r="M67" s="1" t="s">
        <v>113</v>
      </c>
    </row>
    <row r="68" spans="1:13">
      <c r="A68" s="1">
        <f>MONTH(TB_Vendas[[#This Row],[Data]])</f>
        <v>7</v>
      </c>
      <c r="B68" s="3">
        <v>45119</v>
      </c>
      <c r="C68" s="4" t="s">
        <v>84</v>
      </c>
      <c r="D68" s="4" t="str">
        <f>_xlfn.XLOOKUP(TB_Vendas[[#This Row],[Código]],TB_Produtos[Código],TB_Produtos[Categoria])</f>
        <v>Vestuário</v>
      </c>
      <c r="E68" s="1">
        <v>2</v>
      </c>
      <c r="F68" s="7">
        <f>VLOOKUP(TB_Vendas[[#This Row],[Código]],Produtos!$B$6:$G$66,6,0)</f>
        <v>54.9</v>
      </c>
      <c r="G68" s="1">
        <f>_xlfn.XMATCH(TB_Vendas[[#This Row],[Categoria]],Desc_Categorias,0)</f>
        <v>3</v>
      </c>
      <c r="H68" s="43">
        <f>VLOOKUP(TB_Vendas[[#This Row],[Qtd]],Desc_TabelaToda,TB_Vendas[[#This Row],[Indice]],TRUE)</f>
        <v>0.15</v>
      </c>
      <c r="I68" s="43" cm="1">
        <f t="array" ref="I68">INDEX(Desc_TabelaToda,MATCH(TB_Vendas[[#This Row],[Qtd]],Desc_Quantidades,1),MATCH(_xlfn.XLOOKUP(TB_Vendas[[#This Row],[Código]],TB_Produtos[[#All],[Código]],TB_Produtos[[#All],[Categoria]]),Desc_Categorias,0))</f>
        <v>0.15</v>
      </c>
      <c r="J68" s="43">
        <f>_xlfn.XLOOKUP(TB_Vendas[[#This Row],[Vendedor]],Vendedores!$A$5:$A$9,Vendedores!$D$5:$D$9)</f>
        <v>0.2</v>
      </c>
      <c r="K68" s="43">
        <f>IF(TB_Vendas[[#This Row],[Desconto 
(Diretão)]]&lt;=TB_Vendas[[#This Row],[Desconto 
(Vendedor)]],TB_Vendas[[#This Row],[Desconto 
(Diretão)]],TB_Vendas[[#This Row],[Desconto 
(Vendedor)]])</f>
        <v>0.15</v>
      </c>
      <c r="L68" s="2">
        <f>TB_Vendas[[#This Row],[Preço Unitário]]*TB_Vendas[[#This Row],[Qtd]]</f>
        <v>109.8</v>
      </c>
      <c r="M68" s="1" t="s">
        <v>113</v>
      </c>
    </row>
    <row r="69" spans="1:13">
      <c r="A69" s="1">
        <f>MONTH(TB_Vendas[[#This Row],[Data]])</f>
        <v>7</v>
      </c>
      <c r="B69" s="3">
        <v>45120</v>
      </c>
      <c r="C69" s="4" t="s">
        <v>44</v>
      </c>
      <c r="D69" s="4" t="str">
        <f>_xlfn.XLOOKUP(TB_Vendas[[#This Row],[Código]],TB_Produtos[Código],TB_Produtos[Categoria])</f>
        <v>Vestuário</v>
      </c>
      <c r="E69" s="1">
        <v>2</v>
      </c>
      <c r="F69" s="7">
        <f>VLOOKUP(TB_Vendas[[#This Row],[Código]],Produtos!$B$6:$G$66,6,0)</f>
        <v>39.9</v>
      </c>
      <c r="G69" s="1">
        <f>_xlfn.XMATCH(TB_Vendas[[#This Row],[Categoria]],Desc_Categorias,0)</f>
        <v>3</v>
      </c>
      <c r="H69" s="43">
        <f>VLOOKUP(TB_Vendas[[#This Row],[Qtd]],Desc_TabelaToda,TB_Vendas[[#This Row],[Indice]],TRUE)</f>
        <v>0.15</v>
      </c>
      <c r="I69" s="43" cm="1">
        <f t="array" ref="I69">INDEX(Desc_TabelaToda,MATCH(TB_Vendas[[#This Row],[Qtd]],Desc_Quantidades,1),MATCH(_xlfn.XLOOKUP(TB_Vendas[[#This Row],[Código]],TB_Produtos[[#All],[Código]],TB_Produtos[[#All],[Categoria]]),Desc_Categorias,0))</f>
        <v>0.15</v>
      </c>
      <c r="J69" s="43">
        <f>_xlfn.XLOOKUP(TB_Vendas[[#This Row],[Vendedor]],Vendedores!$A$5:$A$9,Vendedores!$D$5:$D$9)</f>
        <v>0.15</v>
      </c>
      <c r="K69" s="43">
        <f>IF(TB_Vendas[[#This Row],[Desconto 
(Diretão)]]&lt;=TB_Vendas[[#This Row],[Desconto 
(Vendedor)]],TB_Vendas[[#This Row],[Desconto 
(Diretão)]],TB_Vendas[[#This Row],[Desconto 
(Vendedor)]])</f>
        <v>0.15</v>
      </c>
      <c r="L69" s="2">
        <f>TB_Vendas[[#This Row],[Preço Unitário]]*TB_Vendas[[#This Row],[Qtd]]</f>
        <v>79.8</v>
      </c>
      <c r="M69" s="1" t="s">
        <v>117</v>
      </c>
    </row>
    <row r="70" spans="1:13">
      <c r="A70" s="1">
        <f>MONTH(TB_Vendas[[#This Row],[Data]])</f>
        <v>7</v>
      </c>
      <c r="B70" s="3">
        <v>45124</v>
      </c>
      <c r="C70" s="4" t="s">
        <v>85</v>
      </c>
      <c r="D70" s="4" t="str">
        <f>_xlfn.XLOOKUP(TB_Vendas[[#This Row],[Código]],TB_Produtos[Código],TB_Produtos[Categoria])</f>
        <v>Vestuário</v>
      </c>
      <c r="E70" s="1">
        <v>7</v>
      </c>
      <c r="F70" s="7">
        <f>VLOOKUP(TB_Vendas[[#This Row],[Código]],Produtos!$B$6:$G$66,6,0)</f>
        <v>54.9</v>
      </c>
      <c r="G70" s="1">
        <f>_xlfn.XMATCH(TB_Vendas[[#This Row],[Categoria]],Desc_Categorias,0)</f>
        <v>3</v>
      </c>
      <c r="H70" s="43">
        <f>VLOOKUP(TB_Vendas[[#This Row],[Qtd]],Desc_TabelaToda,TB_Vendas[[#This Row],[Indice]],TRUE)</f>
        <v>0.25</v>
      </c>
      <c r="I70" s="43" cm="1">
        <f t="array" ref="I70">INDEX(Desc_TabelaToda,MATCH(TB_Vendas[[#This Row],[Qtd]],Desc_Quantidades,1),MATCH(_xlfn.XLOOKUP(TB_Vendas[[#This Row],[Código]],TB_Produtos[[#All],[Código]],TB_Produtos[[#All],[Categoria]]),Desc_Categorias,0))</f>
        <v>0.25</v>
      </c>
      <c r="J70" s="43">
        <f>_xlfn.XLOOKUP(TB_Vendas[[#This Row],[Vendedor]],Vendedores!$A$5:$A$9,Vendedores!$D$5:$D$9)</f>
        <v>0.2</v>
      </c>
      <c r="K70" s="43">
        <f>IF(TB_Vendas[[#This Row],[Desconto 
(Diretão)]]&lt;=TB_Vendas[[#This Row],[Desconto 
(Vendedor)]],TB_Vendas[[#This Row],[Desconto 
(Diretão)]],TB_Vendas[[#This Row],[Desconto 
(Vendedor)]])</f>
        <v>0.2</v>
      </c>
      <c r="L70" s="2">
        <f>TB_Vendas[[#This Row],[Preço Unitário]]*TB_Vendas[[#This Row],[Qtd]]</f>
        <v>384.3</v>
      </c>
      <c r="M70" s="1" t="s">
        <v>116</v>
      </c>
    </row>
    <row r="71" spans="1:13">
      <c r="A71" s="1">
        <f>MONTH(TB_Vendas[[#This Row],[Data]])</f>
        <v>7</v>
      </c>
      <c r="B71" s="3">
        <v>45130</v>
      </c>
      <c r="C71" s="4" t="s">
        <v>50</v>
      </c>
      <c r="D71" s="4" t="str">
        <f>_xlfn.XLOOKUP(TB_Vendas[[#This Row],[Código]],TB_Produtos[Código],TB_Produtos[Categoria])</f>
        <v>Vestuário</v>
      </c>
      <c r="E71" s="1">
        <v>4</v>
      </c>
      <c r="F71" s="7">
        <f>VLOOKUP(TB_Vendas[[#This Row],[Código]],Produtos!$B$6:$G$66,6,0)</f>
        <v>299.89999999999998</v>
      </c>
      <c r="G71" s="1">
        <f>_xlfn.XMATCH(TB_Vendas[[#This Row],[Categoria]],Desc_Categorias,0)</f>
        <v>3</v>
      </c>
      <c r="H71" s="43">
        <f>VLOOKUP(TB_Vendas[[#This Row],[Qtd]],Desc_TabelaToda,TB_Vendas[[#This Row],[Indice]],TRUE)</f>
        <v>0.2</v>
      </c>
      <c r="I71" s="43" cm="1">
        <f t="array" ref="I71">INDEX(Desc_TabelaToda,MATCH(TB_Vendas[[#This Row],[Qtd]],Desc_Quantidades,1),MATCH(_xlfn.XLOOKUP(TB_Vendas[[#This Row],[Código]],TB_Produtos[[#All],[Código]],TB_Produtos[[#All],[Categoria]]),Desc_Categorias,0))</f>
        <v>0.2</v>
      </c>
      <c r="J71" s="43">
        <f>_xlfn.XLOOKUP(TB_Vendas[[#This Row],[Vendedor]],Vendedores!$A$5:$A$9,Vendedores!$D$5:$D$9)</f>
        <v>0.15</v>
      </c>
      <c r="K71" s="43">
        <f>IF(TB_Vendas[[#This Row],[Desconto 
(Diretão)]]&lt;=TB_Vendas[[#This Row],[Desconto 
(Vendedor)]],TB_Vendas[[#This Row],[Desconto 
(Diretão)]],TB_Vendas[[#This Row],[Desconto 
(Vendedor)]])</f>
        <v>0.15</v>
      </c>
      <c r="L71" s="2">
        <f>TB_Vendas[[#This Row],[Preço Unitário]]*TB_Vendas[[#This Row],[Qtd]]</f>
        <v>1199.5999999999999</v>
      </c>
      <c r="M71" s="1" t="s">
        <v>117</v>
      </c>
    </row>
    <row r="72" spans="1:13">
      <c r="A72" s="1">
        <f>MONTH(TB_Vendas[[#This Row],[Data]])</f>
        <v>7</v>
      </c>
      <c r="B72" s="3">
        <v>45133</v>
      </c>
      <c r="C72" s="4" t="s">
        <v>54</v>
      </c>
      <c r="D72" s="4" t="str">
        <f>_xlfn.XLOOKUP(TB_Vendas[[#This Row],[Código]],TB_Produtos[Código],TB_Produtos[Categoria])</f>
        <v>Vestuário</v>
      </c>
      <c r="E72" s="1">
        <v>3</v>
      </c>
      <c r="F72" s="7">
        <f>VLOOKUP(TB_Vendas[[#This Row],[Código]],Produtos!$B$6:$G$66,6,0)</f>
        <v>259.89999999999998</v>
      </c>
      <c r="G72" s="1">
        <f>_xlfn.XMATCH(TB_Vendas[[#This Row],[Categoria]],Desc_Categorias,0)</f>
        <v>3</v>
      </c>
      <c r="H72" s="43">
        <f>VLOOKUP(TB_Vendas[[#This Row],[Qtd]],Desc_TabelaToda,TB_Vendas[[#This Row],[Indice]],TRUE)</f>
        <v>0.2</v>
      </c>
      <c r="I72" s="43" cm="1">
        <f t="array" ref="I72">INDEX(Desc_TabelaToda,MATCH(TB_Vendas[[#This Row],[Qtd]],Desc_Quantidades,1),MATCH(_xlfn.XLOOKUP(TB_Vendas[[#This Row],[Código]],TB_Produtos[[#All],[Código]],TB_Produtos[[#All],[Categoria]]),Desc_Categorias,0))</f>
        <v>0.2</v>
      </c>
      <c r="J72" s="43">
        <f>_xlfn.XLOOKUP(TB_Vendas[[#This Row],[Vendedor]],Vendedores!$A$5:$A$9,Vendedores!$D$5:$D$9)</f>
        <v>0.2</v>
      </c>
      <c r="K72" s="43">
        <f>IF(TB_Vendas[[#This Row],[Desconto 
(Diretão)]]&lt;=TB_Vendas[[#This Row],[Desconto 
(Vendedor)]],TB_Vendas[[#This Row],[Desconto 
(Diretão)]],TB_Vendas[[#This Row],[Desconto 
(Vendedor)]])</f>
        <v>0.2</v>
      </c>
      <c r="L72" s="2">
        <f>TB_Vendas[[#This Row],[Preço Unitário]]*TB_Vendas[[#This Row],[Qtd]]</f>
        <v>779.69999999999993</v>
      </c>
      <c r="M72" s="1" t="s">
        <v>116</v>
      </c>
    </row>
    <row r="73" spans="1:13">
      <c r="A73" s="1">
        <f>MONTH(TB_Vendas[[#This Row],[Data]])</f>
        <v>7</v>
      </c>
      <c r="B73" s="3">
        <v>45135</v>
      </c>
      <c r="C73" s="4" t="s">
        <v>88</v>
      </c>
      <c r="D73" s="4" t="str">
        <f>_xlfn.XLOOKUP(TB_Vendas[[#This Row],[Código]],TB_Produtos[Código],TB_Produtos[Categoria])</f>
        <v>Vestuário</v>
      </c>
      <c r="E73" s="1">
        <v>9</v>
      </c>
      <c r="F73" s="7">
        <f>VLOOKUP(TB_Vendas[[#This Row],[Código]],Produtos!$B$6:$G$66,6,0)</f>
        <v>72.5</v>
      </c>
      <c r="G73" s="1">
        <f>_xlfn.XMATCH(TB_Vendas[[#This Row],[Categoria]],Desc_Categorias,0)</f>
        <v>3</v>
      </c>
      <c r="H73" s="43">
        <f>VLOOKUP(TB_Vendas[[#This Row],[Qtd]],Desc_TabelaToda,TB_Vendas[[#This Row],[Indice]],TRUE)</f>
        <v>0.25</v>
      </c>
      <c r="I73" s="43" cm="1">
        <f t="array" ref="I73">INDEX(Desc_TabelaToda,MATCH(TB_Vendas[[#This Row],[Qtd]],Desc_Quantidades,1),MATCH(_xlfn.XLOOKUP(TB_Vendas[[#This Row],[Código]],TB_Produtos[[#All],[Código]],TB_Produtos[[#All],[Categoria]]),Desc_Categorias,0))</f>
        <v>0.25</v>
      </c>
      <c r="J73" s="43">
        <f>_xlfn.XLOOKUP(TB_Vendas[[#This Row],[Vendedor]],Vendedores!$A$5:$A$9,Vendedores!$D$5:$D$9)</f>
        <v>0.1</v>
      </c>
      <c r="K73" s="43">
        <f>IF(TB_Vendas[[#This Row],[Desconto 
(Diretão)]]&lt;=TB_Vendas[[#This Row],[Desconto 
(Vendedor)]],TB_Vendas[[#This Row],[Desconto 
(Diretão)]],TB_Vendas[[#This Row],[Desconto 
(Vendedor)]])</f>
        <v>0.1</v>
      </c>
      <c r="L73" s="2">
        <f>TB_Vendas[[#This Row],[Preço Unitário]]*TB_Vendas[[#This Row],[Qtd]]</f>
        <v>652.5</v>
      </c>
      <c r="M73" s="1" t="s">
        <v>115</v>
      </c>
    </row>
    <row r="74" spans="1:13">
      <c r="A74" s="1">
        <f>MONTH(TB_Vendas[[#This Row],[Data]])</f>
        <v>7</v>
      </c>
      <c r="B74" s="3">
        <v>45136</v>
      </c>
      <c r="C74" s="4" t="s">
        <v>52</v>
      </c>
      <c r="D74" s="4" t="str">
        <f>_xlfn.XLOOKUP(TB_Vendas[[#This Row],[Código]],TB_Produtos[Código],TB_Produtos[Categoria])</f>
        <v>Vestuário</v>
      </c>
      <c r="E74" s="1">
        <v>4</v>
      </c>
      <c r="F74" s="7">
        <f>VLOOKUP(TB_Vendas[[#This Row],[Código]],Produtos!$B$6:$G$66,6,0)</f>
        <v>300</v>
      </c>
      <c r="G74" s="1">
        <f>_xlfn.XMATCH(TB_Vendas[[#This Row],[Categoria]],Desc_Categorias,0)</f>
        <v>3</v>
      </c>
      <c r="H74" s="43">
        <f>VLOOKUP(TB_Vendas[[#This Row],[Qtd]],Desc_TabelaToda,TB_Vendas[[#This Row],[Indice]],TRUE)</f>
        <v>0.2</v>
      </c>
      <c r="I74" s="43" cm="1">
        <f t="array" ref="I74">INDEX(Desc_TabelaToda,MATCH(TB_Vendas[[#This Row],[Qtd]],Desc_Quantidades,1),MATCH(_xlfn.XLOOKUP(TB_Vendas[[#This Row],[Código]],TB_Produtos[[#All],[Código]],TB_Produtos[[#All],[Categoria]]),Desc_Categorias,0))</f>
        <v>0.2</v>
      </c>
      <c r="J74" s="43">
        <f>_xlfn.XLOOKUP(TB_Vendas[[#This Row],[Vendedor]],Vendedores!$A$5:$A$9,Vendedores!$D$5:$D$9)</f>
        <v>0.15</v>
      </c>
      <c r="K74" s="43">
        <f>IF(TB_Vendas[[#This Row],[Desconto 
(Diretão)]]&lt;=TB_Vendas[[#This Row],[Desconto 
(Vendedor)]],TB_Vendas[[#This Row],[Desconto 
(Diretão)]],TB_Vendas[[#This Row],[Desconto 
(Vendedor)]])</f>
        <v>0.15</v>
      </c>
      <c r="L74" s="2">
        <f>TB_Vendas[[#This Row],[Preço Unitário]]*TB_Vendas[[#This Row],[Qtd]]</f>
        <v>1200</v>
      </c>
      <c r="M74" s="1" t="s">
        <v>117</v>
      </c>
    </row>
    <row r="75" spans="1:13">
      <c r="A75" s="1">
        <f>MONTH(TB_Vendas[[#This Row],[Data]])</f>
        <v>7</v>
      </c>
      <c r="B75" s="3">
        <v>45137</v>
      </c>
      <c r="C75" s="4" t="s">
        <v>31</v>
      </c>
      <c r="D75" s="4" t="str">
        <f>_xlfn.XLOOKUP(TB_Vendas[[#This Row],[Código]],TB_Produtos[Código],TB_Produtos[Categoria])</f>
        <v>Vestuário</v>
      </c>
      <c r="E75" s="1">
        <v>9</v>
      </c>
      <c r="F75" s="7">
        <f>VLOOKUP(TB_Vendas[[#This Row],[Código]],Produtos!$B$6:$G$66,6,0)</f>
        <v>65.900000000000006</v>
      </c>
      <c r="G75" s="1">
        <f>_xlfn.XMATCH(TB_Vendas[[#This Row],[Categoria]],Desc_Categorias,0)</f>
        <v>3</v>
      </c>
      <c r="H75" s="43">
        <f>VLOOKUP(TB_Vendas[[#This Row],[Qtd]],Desc_TabelaToda,TB_Vendas[[#This Row],[Indice]],TRUE)</f>
        <v>0.25</v>
      </c>
      <c r="I75" s="43" cm="1">
        <f t="array" ref="I75">INDEX(Desc_TabelaToda,MATCH(TB_Vendas[[#This Row],[Qtd]],Desc_Quantidades,1),MATCH(_xlfn.XLOOKUP(TB_Vendas[[#This Row],[Código]],TB_Produtos[[#All],[Código]],TB_Produtos[[#All],[Categoria]]),Desc_Categorias,0))</f>
        <v>0.25</v>
      </c>
      <c r="J75" s="43">
        <f>_xlfn.XLOOKUP(TB_Vendas[[#This Row],[Vendedor]],Vendedores!$A$5:$A$9,Vendedores!$D$5:$D$9)</f>
        <v>0.15</v>
      </c>
      <c r="K75" s="43">
        <f>IF(TB_Vendas[[#This Row],[Desconto 
(Diretão)]]&lt;=TB_Vendas[[#This Row],[Desconto 
(Vendedor)]],TB_Vendas[[#This Row],[Desconto 
(Diretão)]],TB_Vendas[[#This Row],[Desconto 
(Vendedor)]])</f>
        <v>0.15</v>
      </c>
      <c r="L75" s="2">
        <f>TB_Vendas[[#This Row],[Preço Unitário]]*TB_Vendas[[#This Row],[Qtd]]</f>
        <v>593.1</v>
      </c>
      <c r="M75" s="1" t="s">
        <v>117</v>
      </c>
    </row>
    <row r="76" spans="1:13">
      <c r="A76" s="1">
        <f>MONTH(TB_Vendas[[#This Row],[Data]])</f>
        <v>8</v>
      </c>
      <c r="B76" s="3">
        <v>45143</v>
      </c>
      <c r="C76" s="4" t="s">
        <v>39</v>
      </c>
      <c r="D76" s="4" t="str">
        <f>_xlfn.XLOOKUP(TB_Vendas[[#This Row],[Código]],TB_Produtos[Código],TB_Produtos[Categoria])</f>
        <v>Vestuário</v>
      </c>
      <c r="E76" s="1">
        <v>10</v>
      </c>
      <c r="F76" s="7">
        <f>VLOOKUP(TB_Vendas[[#This Row],[Código]],Produtos!$B$6:$G$66,6,0)</f>
        <v>92.9</v>
      </c>
      <c r="G76" s="1">
        <f>_xlfn.XMATCH(TB_Vendas[[#This Row],[Categoria]],Desc_Categorias,0)</f>
        <v>3</v>
      </c>
      <c r="H76" s="43">
        <f>VLOOKUP(TB_Vendas[[#This Row],[Qtd]],Desc_TabelaToda,TB_Vendas[[#This Row],[Indice]],TRUE)</f>
        <v>0.3</v>
      </c>
      <c r="I76" s="43" cm="1">
        <f t="array" ref="I76">INDEX(Desc_TabelaToda,MATCH(TB_Vendas[[#This Row],[Qtd]],Desc_Quantidades,1),MATCH(_xlfn.XLOOKUP(TB_Vendas[[#This Row],[Código]],TB_Produtos[[#All],[Código]],TB_Produtos[[#All],[Categoria]]),Desc_Categorias,0))</f>
        <v>0.3</v>
      </c>
      <c r="J76" s="43">
        <f>_xlfn.XLOOKUP(TB_Vendas[[#This Row],[Vendedor]],Vendedores!$A$5:$A$9,Vendedores!$D$5:$D$9)</f>
        <v>0.15</v>
      </c>
      <c r="K76" s="43">
        <f>IF(TB_Vendas[[#This Row],[Desconto 
(Diretão)]]&lt;=TB_Vendas[[#This Row],[Desconto 
(Vendedor)]],TB_Vendas[[#This Row],[Desconto 
(Diretão)]],TB_Vendas[[#This Row],[Desconto 
(Vendedor)]])</f>
        <v>0.15</v>
      </c>
      <c r="L76" s="2">
        <f>TB_Vendas[[#This Row],[Preço Unitário]]*TB_Vendas[[#This Row],[Qtd]]</f>
        <v>929</v>
      </c>
      <c r="M76" s="1" t="s">
        <v>117</v>
      </c>
    </row>
    <row r="77" spans="1:13">
      <c r="A77" s="1">
        <f>MONTH(TB_Vendas[[#This Row],[Data]])</f>
        <v>8</v>
      </c>
      <c r="B77" s="3">
        <v>45144</v>
      </c>
      <c r="C77" s="4" t="s">
        <v>105</v>
      </c>
      <c r="D77" s="4" t="str">
        <f>_xlfn.XLOOKUP(TB_Vendas[[#This Row],[Código]],TB_Produtos[Código],TB_Produtos[Categoria])</f>
        <v>Calçado</v>
      </c>
      <c r="E77" s="1">
        <v>1</v>
      </c>
      <c r="F77" s="7">
        <f>VLOOKUP(TB_Vendas[[#This Row],[Código]],Produtos!$B$6:$G$66,6,0)</f>
        <v>89.9</v>
      </c>
      <c r="G77" s="1">
        <f>_xlfn.XMATCH(TB_Vendas[[#This Row],[Categoria]],Desc_Categorias,0)</f>
        <v>4</v>
      </c>
      <c r="H77" s="43">
        <f>VLOOKUP(TB_Vendas[[#This Row],[Qtd]],Desc_TabelaToda,TB_Vendas[[#This Row],[Indice]],TRUE)</f>
        <v>0</v>
      </c>
      <c r="I77" s="43" cm="1">
        <f t="array" ref="I77">INDEX(Desc_TabelaToda,MATCH(TB_Vendas[[#This Row],[Qtd]],Desc_Quantidades,1),MATCH(_xlfn.XLOOKUP(TB_Vendas[[#This Row],[Código]],TB_Produtos[[#All],[Código]],TB_Produtos[[#All],[Categoria]]),Desc_Categorias,0))</f>
        <v>0</v>
      </c>
      <c r="J77" s="43">
        <f>_xlfn.XLOOKUP(TB_Vendas[[#This Row],[Vendedor]],Vendedores!$A$5:$A$9,Vendedores!$D$5:$D$9)</f>
        <v>0.1</v>
      </c>
      <c r="K77" s="43">
        <f>IF(TB_Vendas[[#This Row],[Desconto 
(Diretão)]]&lt;=TB_Vendas[[#This Row],[Desconto 
(Vendedor)]],TB_Vendas[[#This Row],[Desconto 
(Diretão)]],TB_Vendas[[#This Row],[Desconto 
(Vendedor)]])</f>
        <v>0</v>
      </c>
      <c r="L77" s="2">
        <f>TB_Vendas[[#This Row],[Preço Unitário]]*TB_Vendas[[#This Row],[Qtd]]</f>
        <v>89.9</v>
      </c>
      <c r="M77" s="1" t="s">
        <v>115</v>
      </c>
    </row>
    <row r="78" spans="1:13">
      <c r="A78" s="1">
        <f>MONTH(TB_Vendas[[#This Row],[Data]])</f>
        <v>8</v>
      </c>
      <c r="B78" s="3">
        <v>45145</v>
      </c>
      <c r="C78" s="4" t="s">
        <v>98</v>
      </c>
      <c r="D78" s="4" t="str">
        <f>_xlfn.XLOOKUP(TB_Vendas[[#This Row],[Código]],TB_Produtos[Código],TB_Produtos[Categoria])</f>
        <v>Vestuário</v>
      </c>
      <c r="E78" s="1">
        <v>2</v>
      </c>
      <c r="F78" s="7">
        <f>VLOOKUP(TB_Vendas[[#This Row],[Código]],Produtos!$B$6:$G$66,6,0)</f>
        <v>49.9</v>
      </c>
      <c r="G78" s="1">
        <f>_xlfn.XMATCH(TB_Vendas[[#This Row],[Categoria]],Desc_Categorias,0)</f>
        <v>3</v>
      </c>
      <c r="H78" s="43">
        <f>VLOOKUP(TB_Vendas[[#This Row],[Qtd]],Desc_TabelaToda,TB_Vendas[[#This Row],[Indice]],TRUE)</f>
        <v>0.15</v>
      </c>
      <c r="I78" s="43" cm="1">
        <f t="array" ref="I78">INDEX(Desc_TabelaToda,MATCH(TB_Vendas[[#This Row],[Qtd]],Desc_Quantidades,1),MATCH(_xlfn.XLOOKUP(TB_Vendas[[#This Row],[Código]],TB_Produtos[[#All],[Código]],TB_Produtos[[#All],[Categoria]]),Desc_Categorias,0))</f>
        <v>0.15</v>
      </c>
      <c r="J78" s="43">
        <f>_xlfn.XLOOKUP(TB_Vendas[[#This Row],[Vendedor]],Vendedores!$A$5:$A$9,Vendedores!$D$5:$D$9)</f>
        <v>0.1</v>
      </c>
      <c r="K78" s="43">
        <f>IF(TB_Vendas[[#This Row],[Desconto 
(Diretão)]]&lt;=TB_Vendas[[#This Row],[Desconto 
(Vendedor)]],TB_Vendas[[#This Row],[Desconto 
(Diretão)]],TB_Vendas[[#This Row],[Desconto 
(Vendedor)]])</f>
        <v>0.1</v>
      </c>
      <c r="L78" s="2">
        <f>TB_Vendas[[#This Row],[Preço Unitário]]*TB_Vendas[[#This Row],[Qtd]]</f>
        <v>99.8</v>
      </c>
      <c r="M78" s="1" t="s">
        <v>115</v>
      </c>
    </row>
    <row r="79" spans="1:13">
      <c r="A79" s="1">
        <f>MONTH(TB_Vendas[[#This Row],[Data]])</f>
        <v>8</v>
      </c>
      <c r="B79" s="3">
        <v>45146</v>
      </c>
      <c r="C79" s="4" t="s">
        <v>83</v>
      </c>
      <c r="D79" s="4" t="str">
        <f>_xlfn.XLOOKUP(TB_Vendas[[#This Row],[Código]],TB_Produtos[Código],TB_Produtos[Categoria])</f>
        <v>Vestuário</v>
      </c>
      <c r="E79" s="1">
        <v>8</v>
      </c>
      <c r="F79" s="7">
        <f>VLOOKUP(TB_Vendas[[#This Row],[Código]],Produtos!$B$6:$G$66,6,0)</f>
        <v>70</v>
      </c>
      <c r="G79" s="1">
        <f>_xlfn.XMATCH(TB_Vendas[[#This Row],[Categoria]],Desc_Categorias,0)</f>
        <v>3</v>
      </c>
      <c r="H79" s="43">
        <f>VLOOKUP(TB_Vendas[[#This Row],[Qtd]],Desc_TabelaToda,TB_Vendas[[#This Row],[Indice]],TRUE)</f>
        <v>0.25</v>
      </c>
      <c r="I79" s="43" cm="1">
        <f t="array" ref="I79">INDEX(Desc_TabelaToda,MATCH(TB_Vendas[[#This Row],[Qtd]],Desc_Quantidades,1),MATCH(_xlfn.XLOOKUP(TB_Vendas[[#This Row],[Código]],TB_Produtos[[#All],[Código]],TB_Produtos[[#All],[Categoria]]),Desc_Categorias,0))</f>
        <v>0.25</v>
      </c>
      <c r="J79" s="43">
        <f>_xlfn.XLOOKUP(TB_Vendas[[#This Row],[Vendedor]],Vendedores!$A$5:$A$9,Vendedores!$D$5:$D$9)</f>
        <v>0.15</v>
      </c>
      <c r="K79" s="43">
        <f>IF(TB_Vendas[[#This Row],[Desconto 
(Diretão)]]&lt;=TB_Vendas[[#This Row],[Desconto 
(Vendedor)]],TB_Vendas[[#This Row],[Desconto 
(Diretão)]],TB_Vendas[[#This Row],[Desconto 
(Vendedor)]])</f>
        <v>0.15</v>
      </c>
      <c r="L79" s="2">
        <f>TB_Vendas[[#This Row],[Preço Unitário]]*TB_Vendas[[#This Row],[Qtd]]</f>
        <v>560</v>
      </c>
      <c r="M79" s="1" t="s">
        <v>114</v>
      </c>
    </row>
    <row r="80" spans="1:13">
      <c r="A80" s="1">
        <f>MONTH(TB_Vendas[[#This Row],[Data]])</f>
        <v>8</v>
      </c>
      <c r="B80" s="3">
        <v>45147</v>
      </c>
      <c r="C80" s="4" t="s">
        <v>41</v>
      </c>
      <c r="D80" s="4" t="str">
        <f>_xlfn.XLOOKUP(TB_Vendas[[#This Row],[Código]],TB_Produtos[Código],TB_Produtos[Categoria])</f>
        <v>Vestuário</v>
      </c>
      <c r="E80" s="1">
        <v>5</v>
      </c>
      <c r="F80" s="7">
        <f>VLOOKUP(TB_Vendas[[#This Row],[Código]],Produtos!$B$6:$G$66,6,0)</f>
        <v>46.9</v>
      </c>
      <c r="G80" s="1">
        <f>_xlfn.XMATCH(TB_Vendas[[#This Row],[Categoria]],Desc_Categorias,0)</f>
        <v>3</v>
      </c>
      <c r="H80" s="43">
        <f>VLOOKUP(TB_Vendas[[#This Row],[Qtd]],Desc_TabelaToda,TB_Vendas[[#This Row],[Indice]],TRUE)</f>
        <v>0.25</v>
      </c>
      <c r="I80" s="43" cm="1">
        <f t="array" ref="I80">INDEX(Desc_TabelaToda,MATCH(TB_Vendas[[#This Row],[Qtd]],Desc_Quantidades,1),MATCH(_xlfn.XLOOKUP(TB_Vendas[[#This Row],[Código]],TB_Produtos[[#All],[Código]],TB_Produtos[[#All],[Categoria]]),Desc_Categorias,0))</f>
        <v>0.25</v>
      </c>
      <c r="J80" s="43">
        <f>_xlfn.XLOOKUP(TB_Vendas[[#This Row],[Vendedor]],Vendedores!$A$5:$A$9,Vendedores!$D$5:$D$9)</f>
        <v>0.1</v>
      </c>
      <c r="K80" s="43">
        <f>IF(TB_Vendas[[#This Row],[Desconto 
(Diretão)]]&lt;=TB_Vendas[[#This Row],[Desconto 
(Vendedor)]],TB_Vendas[[#This Row],[Desconto 
(Diretão)]],TB_Vendas[[#This Row],[Desconto 
(Vendedor)]])</f>
        <v>0.1</v>
      </c>
      <c r="L80" s="2">
        <f>TB_Vendas[[#This Row],[Preço Unitário]]*TB_Vendas[[#This Row],[Qtd]]</f>
        <v>234.5</v>
      </c>
      <c r="M80" s="1" t="s">
        <v>115</v>
      </c>
    </row>
    <row r="81" spans="1:13">
      <c r="A81" s="1">
        <f>MONTH(TB_Vendas[[#This Row],[Data]])</f>
        <v>8</v>
      </c>
      <c r="B81" s="3">
        <v>45148</v>
      </c>
      <c r="C81" s="4" t="s">
        <v>92</v>
      </c>
      <c r="D81" s="4" t="str">
        <f>_xlfn.XLOOKUP(TB_Vendas[[#This Row],[Código]],TB_Produtos[Código],TB_Produtos[Categoria])</f>
        <v>Vestuário</v>
      </c>
      <c r="E81" s="1">
        <v>10</v>
      </c>
      <c r="F81" s="7">
        <f>VLOOKUP(TB_Vendas[[#This Row],[Código]],Produtos!$B$6:$G$66,6,0)</f>
        <v>289.89999999999998</v>
      </c>
      <c r="G81" s="1">
        <f>_xlfn.XMATCH(TB_Vendas[[#This Row],[Categoria]],Desc_Categorias,0)</f>
        <v>3</v>
      </c>
      <c r="H81" s="43">
        <f>VLOOKUP(TB_Vendas[[#This Row],[Qtd]],Desc_TabelaToda,TB_Vendas[[#This Row],[Indice]],TRUE)</f>
        <v>0.3</v>
      </c>
      <c r="I81" s="43" cm="1">
        <f t="array" ref="I81">INDEX(Desc_TabelaToda,MATCH(TB_Vendas[[#This Row],[Qtd]],Desc_Quantidades,1),MATCH(_xlfn.XLOOKUP(TB_Vendas[[#This Row],[Código]],TB_Produtos[[#All],[Código]],TB_Produtos[[#All],[Categoria]]),Desc_Categorias,0))</f>
        <v>0.3</v>
      </c>
      <c r="J81" s="43">
        <f>_xlfn.XLOOKUP(TB_Vendas[[#This Row],[Vendedor]],Vendedores!$A$5:$A$9,Vendedores!$D$5:$D$9)</f>
        <v>0.15</v>
      </c>
      <c r="K81" s="43">
        <f>IF(TB_Vendas[[#This Row],[Desconto 
(Diretão)]]&lt;=TB_Vendas[[#This Row],[Desconto 
(Vendedor)]],TB_Vendas[[#This Row],[Desconto 
(Diretão)]],TB_Vendas[[#This Row],[Desconto 
(Vendedor)]])</f>
        <v>0.15</v>
      </c>
      <c r="L81" s="2">
        <f>TB_Vendas[[#This Row],[Preço Unitário]]*TB_Vendas[[#This Row],[Qtd]]</f>
        <v>2899</v>
      </c>
      <c r="M81" s="1" t="s">
        <v>114</v>
      </c>
    </row>
    <row r="82" spans="1:13">
      <c r="A82" s="1">
        <f>MONTH(TB_Vendas[[#This Row],[Data]])</f>
        <v>8</v>
      </c>
      <c r="B82" s="3">
        <v>45149</v>
      </c>
      <c r="C82" s="4" t="s">
        <v>45</v>
      </c>
      <c r="D82" s="4" t="str">
        <f>_xlfn.XLOOKUP(TB_Vendas[[#This Row],[Código]],TB_Produtos[Código],TB_Produtos[Categoria])</f>
        <v>Vestuário</v>
      </c>
      <c r="E82" s="1">
        <v>1</v>
      </c>
      <c r="F82" s="7">
        <f>VLOOKUP(TB_Vendas[[#This Row],[Código]],Produtos!$B$6:$G$66,6,0)</f>
        <v>42.5</v>
      </c>
      <c r="G82" s="1">
        <f>_xlfn.XMATCH(TB_Vendas[[#This Row],[Categoria]],Desc_Categorias,0)</f>
        <v>3</v>
      </c>
      <c r="H82" s="43">
        <f>VLOOKUP(TB_Vendas[[#This Row],[Qtd]],Desc_TabelaToda,TB_Vendas[[#This Row],[Indice]],TRUE)</f>
        <v>0.1</v>
      </c>
      <c r="I82" s="43" cm="1">
        <f t="array" ref="I82">INDEX(Desc_TabelaToda,MATCH(TB_Vendas[[#This Row],[Qtd]],Desc_Quantidades,1),MATCH(_xlfn.XLOOKUP(TB_Vendas[[#This Row],[Código]],TB_Produtos[[#All],[Código]],TB_Produtos[[#All],[Categoria]]),Desc_Categorias,0))</f>
        <v>0.1</v>
      </c>
      <c r="J82" s="43">
        <f>_xlfn.XLOOKUP(TB_Vendas[[#This Row],[Vendedor]],Vendedores!$A$5:$A$9,Vendedores!$D$5:$D$9)</f>
        <v>0.1</v>
      </c>
      <c r="K82" s="43">
        <f>IF(TB_Vendas[[#This Row],[Desconto 
(Diretão)]]&lt;=TB_Vendas[[#This Row],[Desconto 
(Vendedor)]],TB_Vendas[[#This Row],[Desconto 
(Diretão)]],TB_Vendas[[#This Row],[Desconto 
(Vendedor)]])</f>
        <v>0.1</v>
      </c>
      <c r="L82" s="2">
        <f>TB_Vendas[[#This Row],[Preço Unitário]]*TB_Vendas[[#This Row],[Qtd]]</f>
        <v>42.5</v>
      </c>
      <c r="M82" s="1" t="s">
        <v>115</v>
      </c>
    </row>
    <row r="83" spans="1:13">
      <c r="A83" s="1">
        <f>MONTH(TB_Vendas[[#This Row],[Data]])</f>
        <v>8</v>
      </c>
      <c r="B83" s="3">
        <v>45150</v>
      </c>
      <c r="C83" s="4" t="s">
        <v>102</v>
      </c>
      <c r="D83" s="4" t="str">
        <f>_xlfn.XLOOKUP(TB_Vendas[[#This Row],[Código]],TB_Produtos[Código],TB_Produtos[Categoria])</f>
        <v>Calçado</v>
      </c>
      <c r="E83" s="1">
        <v>2</v>
      </c>
      <c r="F83" s="7">
        <f>VLOOKUP(TB_Vendas[[#This Row],[Código]],Produtos!$B$6:$G$66,6,0)</f>
        <v>89.9</v>
      </c>
      <c r="G83" s="1">
        <f>_xlfn.XMATCH(TB_Vendas[[#This Row],[Categoria]],Desc_Categorias,0)</f>
        <v>4</v>
      </c>
      <c r="H83" s="43">
        <f>VLOOKUP(TB_Vendas[[#This Row],[Qtd]],Desc_TabelaToda,TB_Vendas[[#This Row],[Indice]],TRUE)</f>
        <v>0.1</v>
      </c>
      <c r="I83" s="43" cm="1">
        <f t="array" ref="I83">INDEX(Desc_TabelaToda,MATCH(TB_Vendas[[#This Row],[Qtd]],Desc_Quantidades,1),MATCH(_xlfn.XLOOKUP(TB_Vendas[[#This Row],[Código]],TB_Produtos[[#All],[Código]],TB_Produtos[[#All],[Categoria]]),Desc_Categorias,0))</f>
        <v>0.1</v>
      </c>
      <c r="J83" s="43">
        <f>_xlfn.XLOOKUP(TB_Vendas[[#This Row],[Vendedor]],Vendedores!$A$5:$A$9,Vendedores!$D$5:$D$9)</f>
        <v>0.15</v>
      </c>
      <c r="K83" s="43">
        <f>IF(TB_Vendas[[#This Row],[Desconto 
(Diretão)]]&lt;=TB_Vendas[[#This Row],[Desconto 
(Vendedor)]],TB_Vendas[[#This Row],[Desconto 
(Diretão)]],TB_Vendas[[#This Row],[Desconto 
(Vendedor)]])</f>
        <v>0.1</v>
      </c>
      <c r="L83" s="2">
        <f>TB_Vendas[[#This Row],[Preço Unitário]]*TB_Vendas[[#This Row],[Qtd]]</f>
        <v>179.8</v>
      </c>
      <c r="M83" s="1" t="s">
        <v>114</v>
      </c>
    </row>
    <row r="84" spans="1:13">
      <c r="A84" s="1">
        <f>MONTH(TB_Vendas[[#This Row],[Data]])</f>
        <v>8</v>
      </c>
      <c r="B84" s="3">
        <v>45151</v>
      </c>
      <c r="C84" s="4" t="s">
        <v>59</v>
      </c>
      <c r="D84" s="4" t="str">
        <f>_xlfn.XLOOKUP(TB_Vendas[[#This Row],[Código]],TB_Produtos[Código],TB_Produtos[Categoria])</f>
        <v>Calçado</v>
      </c>
      <c r="E84" s="1">
        <v>3</v>
      </c>
      <c r="F84" s="7">
        <f>VLOOKUP(TB_Vendas[[#This Row],[Código]],Produtos!$B$6:$G$66,6,0)</f>
        <v>255</v>
      </c>
      <c r="G84" s="1">
        <f>_xlfn.XMATCH(TB_Vendas[[#This Row],[Categoria]],Desc_Categorias,0)</f>
        <v>4</v>
      </c>
      <c r="H84" s="43">
        <f>VLOOKUP(TB_Vendas[[#This Row],[Qtd]],Desc_TabelaToda,TB_Vendas[[#This Row],[Indice]],TRUE)</f>
        <v>0.15</v>
      </c>
      <c r="I84" s="43" cm="1">
        <f t="array" ref="I84">INDEX(Desc_TabelaToda,MATCH(TB_Vendas[[#This Row],[Qtd]],Desc_Quantidades,1),MATCH(_xlfn.XLOOKUP(TB_Vendas[[#This Row],[Código]],TB_Produtos[[#All],[Código]],TB_Produtos[[#All],[Categoria]]),Desc_Categorias,0))</f>
        <v>0.15</v>
      </c>
      <c r="J84" s="43">
        <f>_xlfn.XLOOKUP(TB_Vendas[[#This Row],[Vendedor]],Vendedores!$A$5:$A$9,Vendedores!$D$5:$D$9)</f>
        <v>0.2</v>
      </c>
      <c r="K84" s="43">
        <f>IF(TB_Vendas[[#This Row],[Desconto 
(Diretão)]]&lt;=TB_Vendas[[#This Row],[Desconto 
(Vendedor)]],TB_Vendas[[#This Row],[Desconto 
(Diretão)]],TB_Vendas[[#This Row],[Desconto 
(Vendedor)]])</f>
        <v>0.15</v>
      </c>
      <c r="L84" s="2">
        <f>TB_Vendas[[#This Row],[Preço Unitário]]*TB_Vendas[[#This Row],[Qtd]]</f>
        <v>765</v>
      </c>
      <c r="M84" s="1" t="s">
        <v>113</v>
      </c>
    </row>
    <row r="85" spans="1:13">
      <c r="A85" s="1">
        <f>MONTH(TB_Vendas[[#This Row],[Data]])</f>
        <v>8</v>
      </c>
      <c r="B85" s="3">
        <v>45152</v>
      </c>
      <c r="C85" s="4" t="s">
        <v>45</v>
      </c>
      <c r="D85" s="4" t="str">
        <f>_xlfn.XLOOKUP(TB_Vendas[[#This Row],[Código]],TB_Produtos[Código],TB_Produtos[Categoria])</f>
        <v>Vestuário</v>
      </c>
      <c r="E85" s="1">
        <v>6</v>
      </c>
      <c r="F85" s="7">
        <f>VLOOKUP(TB_Vendas[[#This Row],[Código]],Produtos!$B$6:$G$66,6,0)</f>
        <v>42.5</v>
      </c>
      <c r="G85" s="1">
        <f>_xlfn.XMATCH(TB_Vendas[[#This Row],[Categoria]],Desc_Categorias,0)</f>
        <v>3</v>
      </c>
      <c r="H85" s="43">
        <f>VLOOKUP(TB_Vendas[[#This Row],[Qtd]],Desc_TabelaToda,TB_Vendas[[#This Row],[Indice]],TRUE)</f>
        <v>0.25</v>
      </c>
      <c r="I85" s="43" cm="1">
        <f t="array" ref="I85">INDEX(Desc_TabelaToda,MATCH(TB_Vendas[[#This Row],[Qtd]],Desc_Quantidades,1),MATCH(_xlfn.XLOOKUP(TB_Vendas[[#This Row],[Código]],TB_Produtos[[#All],[Código]],TB_Produtos[[#All],[Categoria]]),Desc_Categorias,0))</f>
        <v>0.25</v>
      </c>
      <c r="J85" s="43">
        <f>_xlfn.XLOOKUP(TB_Vendas[[#This Row],[Vendedor]],Vendedores!$A$5:$A$9,Vendedores!$D$5:$D$9)</f>
        <v>0.2</v>
      </c>
      <c r="K85" s="43">
        <f>IF(TB_Vendas[[#This Row],[Desconto 
(Diretão)]]&lt;=TB_Vendas[[#This Row],[Desconto 
(Vendedor)]],TB_Vendas[[#This Row],[Desconto 
(Diretão)]],TB_Vendas[[#This Row],[Desconto 
(Vendedor)]])</f>
        <v>0.2</v>
      </c>
      <c r="L85" s="2">
        <f>TB_Vendas[[#This Row],[Preço Unitário]]*TB_Vendas[[#This Row],[Qtd]]</f>
        <v>255</v>
      </c>
      <c r="M85" s="1" t="s">
        <v>116</v>
      </c>
    </row>
    <row r="86" spans="1:13">
      <c r="A86" s="1">
        <f>MONTH(TB_Vendas[[#This Row],[Data]])</f>
        <v>8</v>
      </c>
      <c r="B86" s="3">
        <v>45153</v>
      </c>
      <c r="C86" s="4" t="s">
        <v>44</v>
      </c>
      <c r="D86" s="4" t="str">
        <f>_xlfn.XLOOKUP(TB_Vendas[[#This Row],[Código]],TB_Produtos[Código],TB_Produtos[Categoria])</f>
        <v>Vestuário</v>
      </c>
      <c r="E86" s="1">
        <v>8</v>
      </c>
      <c r="F86" s="7">
        <f>VLOOKUP(TB_Vendas[[#This Row],[Código]],Produtos!$B$6:$G$66,6,0)</f>
        <v>39.9</v>
      </c>
      <c r="G86" s="1">
        <f>_xlfn.XMATCH(TB_Vendas[[#This Row],[Categoria]],Desc_Categorias,0)</f>
        <v>3</v>
      </c>
      <c r="H86" s="43">
        <f>VLOOKUP(TB_Vendas[[#This Row],[Qtd]],Desc_TabelaToda,TB_Vendas[[#This Row],[Indice]],TRUE)</f>
        <v>0.25</v>
      </c>
      <c r="I86" s="43" cm="1">
        <f t="array" ref="I86">INDEX(Desc_TabelaToda,MATCH(TB_Vendas[[#This Row],[Qtd]],Desc_Quantidades,1),MATCH(_xlfn.XLOOKUP(TB_Vendas[[#This Row],[Código]],TB_Produtos[[#All],[Código]],TB_Produtos[[#All],[Categoria]]),Desc_Categorias,0))</f>
        <v>0.25</v>
      </c>
      <c r="J86" s="43">
        <f>_xlfn.XLOOKUP(TB_Vendas[[#This Row],[Vendedor]],Vendedores!$A$5:$A$9,Vendedores!$D$5:$D$9)</f>
        <v>0.15</v>
      </c>
      <c r="K86" s="43">
        <f>IF(TB_Vendas[[#This Row],[Desconto 
(Diretão)]]&lt;=TB_Vendas[[#This Row],[Desconto 
(Vendedor)]],TB_Vendas[[#This Row],[Desconto 
(Diretão)]],TB_Vendas[[#This Row],[Desconto 
(Vendedor)]])</f>
        <v>0.15</v>
      </c>
      <c r="L86" s="2">
        <f>TB_Vendas[[#This Row],[Preço Unitário]]*TB_Vendas[[#This Row],[Qtd]]</f>
        <v>319.2</v>
      </c>
      <c r="M86" s="1" t="s">
        <v>114</v>
      </c>
    </row>
  </sheetData>
  <phoneticPr fontId="11" type="noConversion"/>
  <conditionalFormatting sqref="E4:K4">
    <cfRule type="cellIs" dxfId="0" priority="2" operator="equal">
      <formula>0</formula>
    </cfRule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D809-06A9-4A05-BD08-554A0B4697F5}">
  <dimension ref="A1:I20"/>
  <sheetViews>
    <sheetView showGridLines="0" zoomScale="110" zoomScaleNormal="110" workbookViewId="0">
      <pane ySplit="1" topLeftCell="A2" activePane="bottomLeft" state="frozen"/>
      <selection pane="bottomLeft" activeCell="E11" sqref="E11"/>
    </sheetView>
  </sheetViews>
  <sheetFormatPr defaultColWidth="8.85546875" defaultRowHeight="15" zeroHeight="1"/>
  <cols>
    <col min="1" max="1" width="8.85546875" customWidth="1"/>
    <col min="2" max="2" width="21.85546875" customWidth="1"/>
    <col min="3" max="3" width="34" customWidth="1"/>
    <col min="4" max="4" width="11.7109375" customWidth="1"/>
    <col min="5" max="5" width="21.85546875" customWidth="1"/>
    <col min="6" max="6" width="34" customWidth="1"/>
    <col min="7" max="9" width="8.85546875" customWidth="1"/>
  </cols>
  <sheetData>
    <row r="1" spans="1:9" s="13" customFormat="1" ht="40.15" customHeight="1">
      <c r="A1" s="16"/>
      <c r="B1" s="20" t="s">
        <v>131</v>
      </c>
      <c r="C1" s="18"/>
      <c r="D1" s="18"/>
      <c r="E1" s="18"/>
      <c r="F1" s="18"/>
      <c r="G1" s="18"/>
      <c r="H1" s="18"/>
      <c r="I1" s="18"/>
    </row>
    <row r="2" spans="1:9" s="14" customFormat="1" ht="4.5" customHeight="1">
      <c r="A2" s="17"/>
      <c r="B2" s="17"/>
      <c r="C2" s="17"/>
      <c r="D2" s="17"/>
      <c r="E2" s="17"/>
      <c r="F2" s="17"/>
    </row>
    <row r="3" spans="1:9" ht="4.5" customHeight="1">
      <c r="A3" s="15"/>
      <c r="B3" s="15"/>
      <c r="C3" s="15"/>
      <c r="D3" s="15"/>
      <c r="E3" s="15"/>
      <c r="F3" s="15"/>
    </row>
    <row r="4" spans="1:9" ht="23.25" customHeight="1">
      <c r="A4" s="15"/>
      <c r="B4" s="105" t="s">
        <v>140</v>
      </c>
      <c r="C4" s="105"/>
      <c r="D4" s="15"/>
      <c r="E4" s="105" t="s">
        <v>147</v>
      </c>
      <c r="F4" s="105"/>
    </row>
    <row r="5" spans="1:9" ht="5.25" customHeight="1" thickBot="1"/>
    <row r="6" spans="1:9" ht="24.6" customHeight="1" thickBot="1">
      <c r="B6" s="45" t="s">
        <v>141</v>
      </c>
      <c r="C6" s="44" t="s">
        <v>102</v>
      </c>
      <c r="E6" s="45" t="s">
        <v>146</v>
      </c>
      <c r="F6" s="49">
        <v>44949</v>
      </c>
    </row>
    <row r="7" spans="1:9" ht="24.6" customHeight="1" thickTop="1" thickBot="1">
      <c r="B7" s="45" t="s">
        <v>142</v>
      </c>
      <c r="C7" s="23" t="str">
        <f>IFERROR(VLOOKUP(C6,TB_Produtos[#All],2,FALSE),"")</f>
        <v>Sandália Rasteira</v>
      </c>
      <c r="E7" s="45" t="s">
        <v>149</v>
      </c>
      <c r="F7" s="23" t="str">
        <f>_xlfn.XLOOKUP(WEEKDAY(F6),'Cadastros Auxiliares'!$B$4:$I$4,'Cadastros Auxiliares'!$B$5:$I$5,"")</f>
        <v>Segunda-feira</v>
      </c>
      <c r="G7" s="22"/>
    </row>
    <row r="8" spans="1:9" ht="24.6" customHeight="1" thickTop="1" thickBot="1">
      <c r="B8" s="46" t="s">
        <v>143</v>
      </c>
      <c r="C8" s="21" cm="1">
        <f t="array" ref="C8">_xlfn.XLOOKUP(C6,TB_Produtos[[#All],[Código]],TB_Produtos[[#All],[Tamanho]],"")</f>
        <v>35</v>
      </c>
      <c r="E8" s="46" t="s">
        <v>150</v>
      </c>
      <c r="F8" s="50">
        <f>SUMIF(TB_Vendas[[#All],[Data]],Consultas!$F$6,TB_Vendas[[#All],[Total]])</f>
        <v>146</v>
      </c>
      <c r="G8" s="22"/>
    </row>
    <row r="9" spans="1:9" ht="24.6" customHeight="1" thickTop="1" thickBot="1">
      <c r="B9" s="47" t="s">
        <v>144</v>
      </c>
      <c r="C9" s="69" t="str">
        <f>IFERROR(VLOOKUP($C$6,Produtos!$B$6:$G$66,4,0),"")</f>
        <v>Calçado</v>
      </c>
      <c r="E9" s="48" t="s">
        <v>148</v>
      </c>
      <c r="F9" s="24">
        <f>SUMIF(TB_Vendas[[#All],[Data]],Consultas!$F$6,TB_Vendas[[#All],[Qtd]])</f>
        <v>1</v>
      </c>
      <c r="G9" s="22"/>
    </row>
    <row r="10" spans="1:9" ht="24.6" customHeight="1" thickTop="1" thickBot="1">
      <c r="B10" s="47" t="s">
        <v>151</v>
      </c>
      <c r="C10" s="68">
        <f>_xlfn.XLOOKUP($C$6,Produtos!$B$6:$B$66,Produtos!$G$6:$G$66,"")</f>
        <v>89.9</v>
      </c>
      <c r="G10" s="22"/>
    </row>
    <row r="11" spans="1:9" ht="24.6" customHeight="1" thickTop="1" thickBot="1">
      <c r="B11" s="46" t="s">
        <v>145</v>
      </c>
      <c r="C11" s="21" cm="1">
        <f t="array" ref="C11">_xlfn.XLOOKUP($C$6,TB_Produtos[[#All],[Código]],TB_Produtos[[#All],[Estoque]],"")</f>
        <v>48</v>
      </c>
      <c r="G11" s="22"/>
    </row>
    <row r="12" spans="1:9" ht="23.25" thickTop="1" thickBot="1">
      <c r="B12" s="47" t="s">
        <v>152</v>
      </c>
      <c r="C12" s="21" t="str" cm="1">
        <f t="array" ref="C12">_xlfn.IFS(C11=0,"Estoque Zerado",C11&gt;=C13,"Estoque OK",1,"Rever Estoque")</f>
        <v>Estoque OK</v>
      </c>
      <c r="E12" s="51"/>
    </row>
    <row r="13" spans="1:9" ht="24.75" thickTop="1" thickBot="1">
      <c r="B13" s="48" t="s">
        <v>154</v>
      </c>
      <c r="C13" s="56">
        <f>_xlfn.XLOOKUP(C9,'Cadastros Auxiliares'!G9:G11,'Cadastros Auxiliares'!H9:H11)</f>
        <v>15</v>
      </c>
      <c r="E13" s="52"/>
    </row>
    <row r="14" spans="1:9"/>
    <row r="15" spans="1:9"/>
    <row r="16" spans="1:9"/>
    <row r="17"/>
    <row r="18"/>
    <row r="19"/>
    <row r="20"/>
  </sheetData>
  <mergeCells count="2">
    <mergeCell ref="B4:C4"/>
    <mergeCell ref="E4:F4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4864B3-67D5-45F6-83BC-59307DFC7664}">
          <x14:formula1>
            <xm:f>Vendas!$B:$B</xm:f>
          </x14:formula1>
          <xm:sqref>F6</xm:sqref>
        </x14:dataValidation>
        <x14:dataValidation type="list" allowBlank="1" showInputMessage="1" showErrorMessage="1" xr:uid="{386D00EA-C09E-4AF2-85F6-0FFA8584E7FB}">
          <x14:formula1>
            <xm:f>Produtos!$B:$B</xm:f>
          </x14:formula1>
          <xm:sqref>C6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D9876-5223-46EA-AB95-1E16683FB374}">
  <sheetPr>
    <tabColor rgb="FFFF0000"/>
  </sheetPr>
  <dimension ref="A2:F7"/>
  <sheetViews>
    <sheetView zoomScaleNormal="100" workbookViewId="0">
      <selection activeCell="F7" sqref="F7"/>
    </sheetView>
  </sheetViews>
  <sheetFormatPr defaultRowHeight="15"/>
  <cols>
    <col min="1" max="1" width="22.5703125" customWidth="1"/>
    <col min="2" max="2" width="25" customWidth="1"/>
    <col min="3" max="3" width="27.28515625" customWidth="1"/>
    <col min="4" max="4" width="3" customWidth="1"/>
    <col min="5" max="5" width="18" bestFit="1" customWidth="1"/>
    <col min="6" max="6" width="21.5703125" bestFit="1" customWidth="1"/>
    <col min="7" max="14" width="17.85546875" customWidth="1"/>
  </cols>
  <sheetData>
    <row r="2" spans="1:6" ht="70.5" customHeight="1"/>
    <row r="3" spans="1:6">
      <c r="A3" s="63" t="s">
        <v>160</v>
      </c>
      <c r="B3" t="s">
        <v>162</v>
      </c>
      <c r="C3" t="s">
        <v>163</v>
      </c>
      <c r="E3" s="63" t="s">
        <v>160</v>
      </c>
      <c r="F3" t="s">
        <v>165</v>
      </c>
    </row>
    <row r="4" spans="1:6" ht="15.75">
      <c r="A4" s="65" t="s">
        <v>12</v>
      </c>
      <c r="B4" s="67">
        <v>1482</v>
      </c>
      <c r="C4" s="66">
        <v>5298.699999999998</v>
      </c>
      <c r="E4" s="64" t="s">
        <v>12</v>
      </c>
      <c r="F4">
        <v>45</v>
      </c>
    </row>
    <row r="5" spans="1:6" ht="15.75">
      <c r="A5" s="65" t="s">
        <v>13</v>
      </c>
      <c r="B5" s="67">
        <v>159</v>
      </c>
      <c r="C5" s="66">
        <v>964.59999999999991</v>
      </c>
      <c r="E5" s="64" t="s">
        <v>13</v>
      </c>
      <c r="F5">
        <v>6</v>
      </c>
    </row>
    <row r="6" spans="1:6" ht="15.75">
      <c r="A6" s="65" t="s">
        <v>14</v>
      </c>
      <c r="B6" s="67">
        <v>350</v>
      </c>
      <c r="C6" s="66">
        <v>1789.4</v>
      </c>
      <c r="E6" s="64" t="s">
        <v>14</v>
      </c>
      <c r="F6">
        <v>9</v>
      </c>
    </row>
    <row r="7" spans="1:6">
      <c r="A7" s="64" t="s">
        <v>161</v>
      </c>
      <c r="B7" s="1">
        <v>1991</v>
      </c>
      <c r="C7" s="2">
        <v>8052.6999999999971</v>
      </c>
      <c r="E7" s="64" t="s">
        <v>161</v>
      </c>
      <c r="F7">
        <v>60</v>
      </c>
    </row>
  </sheetData>
  <pageMargins left="0.511811024" right="0.511811024" top="0.78740157499999996" bottom="0.78740157499999996" header="0.31496062000000002" footer="0.3149606200000000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5D837-B452-490D-A671-9B37EFAC20E7}">
  <sheetPr>
    <tabColor rgb="FFFF0000"/>
  </sheetPr>
  <dimension ref="A3:M12"/>
  <sheetViews>
    <sheetView workbookViewId="0">
      <selection activeCell="K4" sqref="K4"/>
    </sheetView>
  </sheetViews>
  <sheetFormatPr defaultRowHeight="15"/>
  <cols>
    <col min="1" max="1" width="18" bestFit="1" customWidth="1"/>
    <col min="2" max="2" width="13.5703125" bestFit="1" customWidth="1"/>
    <col min="3" max="3" width="12.28515625" bestFit="1" customWidth="1"/>
    <col min="4" max="4" width="4.42578125" customWidth="1"/>
    <col min="5" max="5" width="18" bestFit="1" customWidth="1"/>
    <col min="6" max="6" width="11.42578125" bestFit="1" customWidth="1"/>
    <col min="7" max="7" width="10.85546875" bestFit="1" customWidth="1"/>
    <col min="8" max="8" width="13.5703125" bestFit="1" customWidth="1"/>
    <col min="9" max="10" width="10.85546875" bestFit="1" customWidth="1"/>
    <col min="11" max="77" width="19.5703125" bestFit="1" customWidth="1"/>
    <col min="78" max="78" width="10.7109375" bestFit="1" customWidth="1"/>
  </cols>
  <sheetData>
    <row r="3" spans="1:13">
      <c r="A3" s="63" t="s">
        <v>160</v>
      </c>
      <c r="B3" t="s">
        <v>174</v>
      </c>
      <c r="C3" t="s">
        <v>164</v>
      </c>
      <c r="E3" s="63" t="s">
        <v>160</v>
      </c>
      <c r="F3" t="s">
        <v>175</v>
      </c>
      <c r="G3" t="s">
        <v>176</v>
      </c>
      <c r="H3" t="s">
        <v>174</v>
      </c>
      <c r="J3" s="64" t="s">
        <v>13</v>
      </c>
      <c r="K3" s="107">
        <v>0.15879092503182729</v>
      </c>
      <c r="L3" s="107">
        <v>0.84120907496817265</v>
      </c>
      <c r="M3" s="8"/>
    </row>
    <row r="4" spans="1:13">
      <c r="A4" s="64" t="s">
        <v>166</v>
      </c>
      <c r="B4" s="2">
        <v>1750.9</v>
      </c>
      <c r="C4" s="106">
        <v>14</v>
      </c>
      <c r="E4" s="64" t="s">
        <v>13</v>
      </c>
      <c r="F4" s="107">
        <v>0.15879092503182729</v>
      </c>
      <c r="G4" s="107">
        <v>0.84120907496817265</v>
      </c>
      <c r="H4" s="8">
        <v>5288.5</v>
      </c>
      <c r="J4" s="64" t="s">
        <v>14</v>
      </c>
      <c r="K4" s="107">
        <v>0.10835675338089411</v>
      </c>
      <c r="L4" s="107">
        <v>0.89164324661910588</v>
      </c>
      <c r="M4" s="8"/>
    </row>
    <row r="5" spans="1:13">
      <c r="A5" s="64" t="s">
        <v>167</v>
      </c>
      <c r="B5" s="2">
        <v>2974.9</v>
      </c>
      <c r="C5" s="106">
        <v>15</v>
      </c>
      <c r="E5" s="64" t="s">
        <v>14</v>
      </c>
      <c r="F5" s="107">
        <v>0.10835675338089411</v>
      </c>
      <c r="G5" s="107">
        <v>0.89164324661910588</v>
      </c>
      <c r="H5" s="8">
        <v>3608.8000000000006</v>
      </c>
      <c r="J5" s="64" t="s">
        <v>12</v>
      </c>
      <c r="K5" s="107">
        <v>0.73285232158727887</v>
      </c>
      <c r="L5" s="107">
        <v>0.26714767841272113</v>
      </c>
      <c r="M5" s="8"/>
    </row>
    <row r="6" spans="1:13">
      <c r="A6" s="64" t="s">
        <v>168</v>
      </c>
      <c r="B6" s="2">
        <v>3698.1</v>
      </c>
      <c r="C6" s="106">
        <v>26</v>
      </c>
      <c r="E6" s="64" t="s">
        <v>12</v>
      </c>
      <c r="F6" s="107">
        <v>0.73285232158727887</v>
      </c>
      <c r="G6" s="107">
        <v>0.26714767841272113</v>
      </c>
      <c r="H6" s="8">
        <v>24407.499999999996</v>
      </c>
    </row>
    <row r="7" spans="1:13">
      <c r="A7" s="64" t="s">
        <v>169</v>
      </c>
      <c r="B7" s="2">
        <v>3651.0999999999995</v>
      </c>
      <c r="C7" s="106">
        <v>28</v>
      </c>
      <c r="E7" s="64" t="s">
        <v>161</v>
      </c>
      <c r="F7" s="107">
        <v>1</v>
      </c>
      <c r="G7" s="107">
        <v>0</v>
      </c>
      <c r="H7" s="8">
        <v>33304.799999999988</v>
      </c>
    </row>
    <row r="8" spans="1:13">
      <c r="A8" s="64" t="s">
        <v>170</v>
      </c>
      <c r="B8" s="2">
        <v>2776.2999999999997</v>
      </c>
      <c r="C8" s="106">
        <v>17</v>
      </c>
    </row>
    <row r="9" spans="1:13">
      <c r="A9" s="64" t="s">
        <v>171</v>
      </c>
      <c r="B9" s="2">
        <v>3477.7000000000007</v>
      </c>
      <c r="C9" s="106">
        <v>41</v>
      </c>
    </row>
    <row r="10" spans="1:13">
      <c r="A10" s="64" t="s">
        <v>172</v>
      </c>
      <c r="B10" s="2">
        <v>8602.0999999999985</v>
      </c>
      <c r="C10" s="106">
        <v>53</v>
      </c>
    </row>
    <row r="11" spans="1:13">
      <c r="A11" s="64" t="s">
        <v>173</v>
      </c>
      <c r="B11" s="2">
        <v>6373.7</v>
      </c>
      <c r="C11" s="106">
        <v>56</v>
      </c>
    </row>
    <row r="12" spans="1:13">
      <c r="A12" s="64" t="s">
        <v>161</v>
      </c>
      <c r="B12" s="2">
        <v>33304.799999999988</v>
      </c>
      <c r="C12" s="106">
        <v>250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BDC0-A65B-4C9D-82C8-12971CC672AB}">
  <sheetPr>
    <tabColor rgb="FFFF0000"/>
  </sheetPr>
  <dimension ref="B1:J20"/>
  <sheetViews>
    <sheetView workbookViewId="0">
      <selection activeCell="E16" sqref="E16"/>
    </sheetView>
  </sheetViews>
  <sheetFormatPr defaultRowHeight="15"/>
  <cols>
    <col min="1" max="1" width="8" customWidth="1"/>
    <col min="2" max="2" width="30.85546875" customWidth="1"/>
    <col min="3" max="9" width="17.42578125" customWidth="1"/>
  </cols>
  <sheetData>
    <row r="1" spans="2:10" s="13" customFormat="1" ht="40.15" customHeight="1">
      <c r="B1" s="36" t="s">
        <v>122</v>
      </c>
      <c r="C1" s="20"/>
      <c r="D1" s="20"/>
      <c r="E1" s="20"/>
      <c r="F1" s="20"/>
      <c r="G1" s="20"/>
      <c r="H1" s="20"/>
      <c r="I1" s="18"/>
      <c r="J1" s="18"/>
    </row>
    <row r="2" spans="2:10" s="14" customFormat="1" ht="4.5" customHeight="1">
      <c r="B2" s="17"/>
      <c r="C2" s="17"/>
      <c r="D2" s="17"/>
      <c r="E2" s="17"/>
      <c r="F2" s="17"/>
      <c r="G2" s="17"/>
    </row>
    <row r="3" spans="2:10" ht="4.5" customHeight="1" thickBot="1">
      <c r="B3" s="15"/>
      <c r="C3" s="15"/>
      <c r="D3" s="15"/>
      <c r="E3" s="15"/>
      <c r="F3" s="15"/>
      <c r="G3" s="15"/>
    </row>
    <row r="4" spans="2:10" ht="22.5" thickBot="1">
      <c r="B4" s="10" t="s">
        <v>30</v>
      </c>
      <c r="C4" s="11">
        <v>1</v>
      </c>
      <c r="D4" s="12">
        <v>2</v>
      </c>
      <c r="E4" s="11">
        <v>3</v>
      </c>
      <c r="F4" s="12">
        <v>4</v>
      </c>
      <c r="G4" s="11">
        <v>5</v>
      </c>
      <c r="H4" s="12">
        <v>6</v>
      </c>
      <c r="I4" s="11">
        <v>7</v>
      </c>
    </row>
    <row r="5" spans="2:10" s="29" customFormat="1" ht="22.5" thickBot="1">
      <c r="B5" s="27" t="s">
        <v>123</v>
      </c>
      <c r="C5" s="28" t="s">
        <v>124</v>
      </c>
      <c r="D5" s="28" t="s">
        <v>125</v>
      </c>
      <c r="E5" s="28" t="s">
        <v>126</v>
      </c>
      <c r="F5" s="28" t="s">
        <v>127</v>
      </c>
      <c r="G5" s="28" t="s">
        <v>128</v>
      </c>
      <c r="H5" s="28" t="s">
        <v>129</v>
      </c>
      <c r="I5" s="28" t="s">
        <v>130</v>
      </c>
    </row>
    <row r="7" spans="2:10" ht="15.75" thickBot="1"/>
    <row r="8" spans="2:10" ht="44.25" thickBot="1">
      <c r="B8" s="33" t="s">
        <v>139</v>
      </c>
      <c r="C8" s="34" t="s">
        <v>13</v>
      </c>
      <c r="D8" s="34" t="s">
        <v>12</v>
      </c>
      <c r="E8" s="34" t="s">
        <v>14</v>
      </c>
      <c r="G8" s="53" t="s">
        <v>10</v>
      </c>
      <c r="H8" s="54" t="s">
        <v>153</v>
      </c>
    </row>
    <row r="9" spans="2:10" ht="18.75" thickBot="1">
      <c r="B9" s="28">
        <v>1</v>
      </c>
      <c r="C9" s="32">
        <v>0</v>
      </c>
      <c r="D9" s="32">
        <v>0.1</v>
      </c>
      <c r="E9" s="35">
        <v>0</v>
      </c>
      <c r="G9" s="28" t="s">
        <v>13</v>
      </c>
      <c r="H9" s="55">
        <v>5</v>
      </c>
    </row>
    <row r="10" spans="2:10" ht="18.75" thickBot="1">
      <c r="B10" s="28">
        <v>2</v>
      </c>
      <c r="C10" s="32">
        <v>0.05</v>
      </c>
      <c r="D10" s="32">
        <v>0.15</v>
      </c>
      <c r="E10" s="35">
        <v>0.1</v>
      </c>
      <c r="G10" s="28" t="s">
        <v>12</v>
      </c>
      <c r="H10" s="55">
        <v>10</v>
      </c>
    </row>
    <row r="11" spans="2:10" ht="18.75" thickBot="1">
      <c r="B11" s="28">
        <v>3</v>
      </c>
      <c r="C11" s="32">
        <v>0.15</v>
      </c>
      <c r="D11" s="32">
        <v>0.2</v>
      </c>
      <c r="E11" s="35">
        <v>0.15</v>
      </c>
      <c r="G11" s="28" t="s">
        <v>14</v>
      </c>
      <c r="H11" s="55">
        <v>15</v>
      </c>
    </row>
    <row r="12" spans="2:10" ht="18.75" thickBot="1">
      <c r="B12" s="28">
        <v>5</v>
      </c>
      <c r="C12" s="32">
        <v>0.25</v>
      </c>
      <c r="D12" s="32">
        <v>0.25</v>
      </c>
      <c r="E12" s="35">
        <v>0.25</v>
      </c>
    </row>
    <row r="13" spans="2:10" ht="18.75" thickBot="1">
      <c r="B13" s="28">
        <v>10</v>
      </c>
      <c r="C13" s="32">
        <v>0.3</v>
      </c>
      <c r="D13" s="32">
        <v>0.3</v>
      </c>
      <c r="E13" s="35">
        <v>0.3</v>
      </c>
      <c r="G13" s="42"/>
    </row>
    <row r="15" spans="2:10" ht="23.25">
      <c r="B15" s="52"/>
      <c r="C15" s="52"/>
      <c r="D15" s="52"/>
      <c r="E15" s="52"/>
      <c r="F15" s="52"/>
    </row>
    <row r="16" spans="2:10" ht="23.25">
      <c r="B16" s="52"/>
      <c r="C16" s="52"/>
      <c r="D16" s="52"/>
      <c r="E16" s="52"/>
      <c r="F16" s="52"/>
    </row>
    <row r="17" spans="2:6" ht="23.25">
      <c r="B17" s="52"/>
      <c r="C17" s="52"/>
      <c r="D17" s="62"/>
      <c r="E17" s="52"/>
      <c r="F17" s="52"/>
    </row>
    <row r="18" spans="2:6" ht="23.25">
      <c r="B18" s="52"/>
      <c r="C18" s="52"/>
      <c r="D18" s="52"/>
      <c r="E18" s="52"/>
      <c r="F18" s="62"/>
    </row>
    <row r="19" spans="2:6" ht="23.25">
      <c r="B19" s="52"/>
      <c r="C19" s="52"/>
      <c r="D19" s="52"/>
      <c r="E19" s="52"/>
      <c r="F19" s="52"/>
    </row>
    <row r="20" spans="2:6" ht="23.25">
      <c r="B20" s="52"/>
      <c r="C20" s="52"/>
      <c r="D20" s="52"/>
      <c r="E20" s="52"/>
      <c r="F20" s="52"/>
    </row>
  </sheetData>
  <phoneticPr fontId="11" type="noConversion"/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35722-3723-486A-BB84-BCD96D69865C}">
  <sheetPr>
    <tabColor rgb="FFFF0000"/>
  </sheetPr>
  <dimension ref="A3:B9"/>
  <sheetViews>
    <sheetView workbookViewId="0">
      <selection activeCell="A3" sqref="A3"/>
    </sheetView>
  </sheetViews>
  <sheetFormatPr defaultRowHeight="15"/>
  <cols>
    <col min="1" max="1" width="18" bestFit="1" customWidth="1"/>
    <col min="2" max="2" width="13.5703125" bestFit="1" customWidth="1"/>
  </cols>
  <sheetData>
    <row r="3" spans="1:2">
      <c r="A3" s="63" t="s">
        <v>160</v>
      </c>
      <c r="B3" t="s">
        <v>174</v>
      </c>
    </row>
    <row r="4" spans="1:2">
      <c r="A4" s="64" t="s">
        <v>118</v>
      </c>
      <c r="B4" s="8">
        <v>6811.2</v>
      </c>
    </row>
    <row r="5" spans="1:2">
      <c r="A5" s="64" t="s">
        <v>119</v>
      </c>
      <c r="B5" s="8">
        <v>6552.6</v>
      </c>
    </row>
    <row r="6" spans="1:2">
      <c r="A6" s="64" t="s">
        <v>70</v>
      </c>
      <c r="B6" s="8">
        <v>3259.7000000000003</v>
      </c>
    </row>
    <row r="7" spans="1:2">
      <c r="A7" s="64" t="s">
        <v>71</v>
      </c>
      <c r="B7" s="8">
        <v>8601.5999999999985</v>
      </c>
    </row>
    <row r="8" spans="1:2">
      <c r="A8" s="64" t="s">
        <v>73</v>
      </c>
      <c r="B8" s="8">
        <v>8079.7</v>
      </c>
    </row>
    <row r="9" spans="1:2">
      <c r="A9" s="64" t="s">
        <v>161</v>
      </c>
      <c r="B9" s="8">
        <v>33304.799999999988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66AFB-3F48-47D7-9498-011A1BD0AB45}">
  <dimension ref="C1:CB46"/>
  <sheetViews>
    <sheetView showGridLines="0" showRowColHeaders="0" tabSelected="1" zoomScaleNormal="100" workbookViewId="0">
      <selection activeCell="CG35" sqref="CG35"/>
    </sheetView>
  </sheetViews>
  <sheetFormatPr defaultColWidth="2" defaultRowHeight="9.75" customHeight="1"/>
  <cols>
    <col min="1" max="16384" width="2" style="5"/>
  </cols>
  <sheetData>
    <row r="1" spans="3:80" ht="9.75" customHeight="1" thickBot="1"/>
    <row r="2" spans="3:80" ht="9.75" customHeight="1">
      <c r="W2" s="70" t="s">
        <v>76</v>
      </c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2"/>
      <c r="AQ2" s="70" t="s">
        <v>77</v>
      </c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/>
      <c r="BD2" s="71"/>
      <c r="BE2" s="71"/>
      <c r="BF2" s="71"/>
      <c r="BG2" s="71"/>
      <c r="BH2" s="72"/>
      <c r="BK2" s="70" t="s">
        <v>78</v>
      </c>
      <c r="BL2" s="71"/>
      <c r="BM2" s="71"/>
      <c r="BN2" s="71"/>
      <c r="BO2" s="71"/>
      <c r="BP2" s="71"/>
      <c r="BQ2" s="71"/>
      <c r="BR2" s="71"/>
      <c r="BS2" s="71"/>
      <c r="BT2" s="71"/>
      <c r="BU2" s="71"/>
      <c r="BV2" s="71"/>
      <c r="BW2" s="71"/>
      <c r="BX2" s="71"/>
      <c r="BY2" s="71"/>
      <c r="BZ2" s="71"/>
      <c r="CA2" s="71"/>
      <c r="CB2" s="72"/>
    </row>
    <row r="3" spans="3:80" ht="9.75" customHeight="1" thickBot="1">
      <c r="W3" s="73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5"/>
      <c r="AQ3" s="73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5"/>
      <c r="BK3" s="73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5"/>
    </row>
    <row r="4" spans="3:80" ht="9.75" customHeight="1">
      <c r="W4" s="76">
        <f>GETPIVOTDATA("Produtos",DN_Produtos!$E$3)</f>
        <v>60</v>
      </c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8"/>
      <c r="AQ4" s="76">
        <f>GETPIVOTDATA("[Measures].[Soma de Qtd]",DN_Vendas!$A$3)</f>
        <v>250</v>
      </c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77"/>
      <c r="BF4" s="77"/>
      <c r="BG4" s="77"/>
      <c r="BH4" s="78"/>
      <c r="BK4" s="85">
        <f>GETPIVOTDATA("[Measures].[Soma de Total]",DN_Vendas!$A$3)</f>
        <v>33304.799999999988</v>
      </c>
      <c r="BL4" s="86"/>
      <c r="BM4" s="86"/>
      <c r="BN4" s="86"/>
      <c r="BO4" s="86"/>
      <c r="BP4" s="86"/>
      <c r="BQ4" s="86"/>
      <c r="BR4" s="86"/>
      <c r="BS4" s="86"/>
      <c r="BT4" s="86"/>
      <c r="BU4" s="86"/>
      <c r="BV4" s="86"/>
      <c r="BW4" s="86"/>
      <c r="BX4" s="86"/>
      <c r="BY4" s="86"/>
      <c r="BZ4" s="86"/>
      <c r="CA4" s="86"/>
      <c r="CB4" s="87"/>
    </row>
    <row r="5" spans="3:80" ht="9.75" customHeight="1">
      <c r="W5" s="79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1"/>
      <c r="AQ5" s="79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1"/>
      <c r="BK5" s="88"/>
      <c r="BL5" s="89"/>
      <c r="BM5" s="89"/>
      <c r="BN5" s="89"/>
      <c r="BO5" s="89"/>
      <c r="BP5" s="89"/>
      <c r="BQ5" s="89"/>
      <c r="BR5" s="89"/>
      <c r="BS5" s="89"/>
      <c r="BT5" s="89"/>
      <c r="BU5" s="89"/>
      <c r="BV5" s="89"/>
      <c r="BW5" s="89"/>
      <c r="BX5" s="89"/>
      <c r="BY5" s="89"/>
      <c r="BZ5" s="89"/>
      <c r="CA5" s="89"/>
      <c r="CB5" s="90"/>
    </row>
    <row r="6" spans="3:80" ht="9.75" customHeight="1">
      <c r="W6" s="79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1"/>
      <c r="AQ6" s="79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1"/>
      <c r="BK6" s="88"/>
      <c r="BL6" s="89"/>
      <c r="BM6" s="89"/>
      <c r="BN6" s="89"/>
      <c r="BO6" s="89"/>
      <c r="BP6" s="89"/>
      <c r="BQ6" s="89"/>
      <c r="BR6" s="89"/>
      <c r="BS6" s="89"/>
      <c r="BT6" s="89"/>
      <c r="BU6" s="89"/>
      <c r="BV6" s="89"/>
      <c r="BW6" s="89"/>
      <c r="BX6" s="89"/>
      <c r="BY6" s="89"/>
      <c r="BZ6" s="89"/>
      <c r="CA6" s="89"/>
      <c r="CB6" s="90"/>
    </row>
    <row r="7" spans="3:80" ht="9.75" customHeight="1" thickBot="1">
      <c r="W7" s="82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4"/>
      <c r="AQ7" s="82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3"/>
      <c r="BF7" s="83"/>
      <c r="BG7" s="83"/>
      <c r="BH7" s="84"/>
      <c r="BK7" s="91"/>
      <c r="BL7" s="92"/>
      <c r="BM7" s="92"/>
      <c r="BN7" s="92"/>
      <c r="BO7" s="92"/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3"/>
    </row>
    <row r="8" spans="3:80" ht="9.75" customHeight="1" thickBot="1"/>
    <row r="9" spans="3:80" ht="9.75" customHeight="1">
      <c r="C9" s="70" t="s">
        <v>79</v>
      </c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71"/>
      <c r="BL9" s="71"/>
      <c r="BM9" s="71"/>
      <c r="BN9" s="71"/>
      <c r="BO9" s="71"/>
      <c r="BP9" s="71"/>
      <c r="BQ9" s="71"/>
      <c r="BR9" s="71"/>
      <c r="BS9" s="71"/>
      <c r="BT9" s="71"/>
      <c r="BU9" s="71"/>
      <c r="BV9" s="71"/>
      <c r="BW9" s="71"/>
      <c r="BX9" s="71"/>
      <c r="BY9" s="71"/>
      <c r="BZ9" s="71"/>
      <c r="CA9" s="71"/>
      <c r="CB9" s="72"/>
    </row>
    <row r="10" spans="3:80" ht="9.75" customHeight="1" thickBot="1">
      <c r="C10" s="73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5"/>
    </row>
    <row r="11" spans="3:80" ht="9.75" customHeight="1">
      <c r="C11" s="94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5"/>
      <c r="BQ11" s="95"/>
      <c r="BR11" s="95"/>
      <c r="BS11" s="95"/>
      <c r="BT11" s="95"/>
      <c r="BU11" s="95"/>
      <c r="BV11" s="95"/>
      <c r="BW11" s="95"/>
      <c r="BX11" s="95"/>
      <c r="BY11" s="95"/>
      <c r="BZ11" s="95"/>
      <c r="CA11" s="95"/>
      <c r="CB11" s="96"/>
    </row>
    <row r="12" spans="3:80" ht="9.75" customHeight="1">
      <c r="C12" s="97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9"/>
    </row>
    <row r="13" spans="3:80" ht="9.75" customHeight="1">
      <c r="C13" s="97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9"/>
    </row>
    <row r="14" spans="3:80" ht="9.75" customHeight="1">
      <c r="C14" s="97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9"/>
    </row>
    <row r="15" spans="3:80" ht="9.75" customHeight="1">
      <c r="C15" s="97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9"/>
    </row>
    <row r="16" spans="3:80" ht="9.75" customHeight="1">
      <c r="C16" s="97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9"/>
    </row>
    <row r="17" spans="3:80" ht="9.75" customHeight="1">
      <c r="C17" s="97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9"/>
    </row>
    <row r="18" spans="3:80" ht="9.75" customHeight="1">
      <c r="C18" s="97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9"/>
    </row>
    <row r="19" spans="3:80" ht="9.75" customHeight="1">
      <c r="C19" s="97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9"/>
    </row>
    <row r="20" spans="3:80" ht="9.75" customHeight="1">
      <c r="C20" s="97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9"/>
    </row>
    <row r="21" spans="3:80" ht="9.75" customHeight="1"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9"/>
    </row>
    <row r="22" spans="3:80" ht="9.75" customHeight="1">
      <c r="C22" s="9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9"/>
    </row>
    <row r="23" spans="3:80" ht="9.75" customHeight="1">
      <c r="C23" s="97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9"/>
    </row>
    <row r="24" spans="3:80" ht="9.75" customHeight="1" thickBot="1">
      <c r="C24" s="100"/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2"/>
    </row>
    <row r="25" spans="3:80" ht="9.75" customHeight="1" thickBot="1"/>
    <row r="26" spans="3:80" ht="9.75" customHeight="1">
      <c r="C26" s="70" t="s">
        <v>80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2"/>
      <c r="AO26" s="6"/>
      <c r="AP26" s="6"/>
      <c r="AQ26" s="70" t="s">
        <v>81</v>
      </c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1"/>
      <c r="BE26" s="71"/>
      <c r="BF26" s="71"/>
      <c r="BG26" s="71"/>
      <c r="BH26" s="71"/>
      <c r="BI26" s="71"/>
      <c r="BJ26" s="71"/>
      <c r="BK26" s="71"/>
      <c r="BL26" s="71"/>
      <c r="BM26" s="71"/>
      <c r="BN26" s="71"/>
      <c r="BO26" s="71"/>
      <c r="BP26" s="71"/>
      <c r="BQ26" s="71"/>
      <c r="BR26" s="71"/>
      <c r="BS26" s="71"/>
      <c r="BT26" s="71"/>
      <c r="BU26" s="71"/>
      <c r="BV26" s="71"/>
      <c r="BW26" s="71"/>
      <c r="BX26" s="71"/>
      <c r="BY26" s="71"/>
      <c r="BZ26" s="71"/>
      <c r="CA26" s="71"/>
      <c r="CB26" s="72"/>
    </row>
    <row r="27" spans="3:80" ht="9.75" customHeight="1" thickBot="1">
      <c r="C27" s="73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/>
      <c r="AN27" s="75"/>
      <c r="AO27" s="6"/>
      <c r="AP27" s="6"/>
      <c r="AQ27" s="73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  <c r="CA27" s="74"/>
      <c r="CB27" s="75"/>
    </row>
    <row r="28" spans="3:80" ht="9.75" customHeight="1">
      <c r="C28" s="94"/>
      <c r="D28" s="95"/>
      <c r="E28" s="95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6"/>
      <c r="AQ28" s="94"/>
      <c r="AR28" s="95"/>
      <c r="AS28" s="95"/>
      <c r="AT28" s="95"/>
      <c r="AU28" s="95"/>
      <c r="AV28" s="95"/>
      <c r="AW28" s="95"/>
      <c r="AX28" s="95"/>
      <c r="AY28" s="95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5"/>
      <c r="BQ28" s="95"/>
      <c r="BR28" s="95"/>
      <c r="BS28" s="95"/>
      <c r="BT28" s="95"/>
      <c r="BU28" s="95"/>
      <c r="BV28" s="95"/>
      <c r="BW28" s="95"/>
      <c r="BX28" s="95"/>
      <c r="BY28" s="95"/>
      <c r="BZ28" s="95"/>
      <c r="CA28" s="95"/>
      <c r="CB28" s="96"/>
    </row>
    <row r="29" spans="3:80" ht="9.75" customHeight="1">
      <c r="C29" s="97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9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9"/>
    </row>
    <row r="30" spans="3:80" ht="9.75" customHeight="1">
      <c r="C30" s="97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9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9"/>
    </row>
    <row r="31" spans="3:80" ht="9.75" customHeight="1">
      <c r="C31" s="97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9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9"/>
    </row>
    <row r="32" spans="3:80" ht="9.75" customHeight="1">
      <c r="C32" s="97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9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9"/>
    </row>
    <row r="33" spans="3:80" ht="9.75" customHeight="1">
      <c r="C33" s="97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9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9"/>
    </row>
    <row r="34" spans="3:80" ht="9.75" customHeight="1">
      <c r="C34" s="97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9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9"/>
    </row>
    <row r="35" spans="3:80" ht="9.75" customHeight="1">
      <c r="C35" s="97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9"/>
      <c r="AQ35" s="97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9"/>
    </row>
    <row r="36" spans="3:80" ht="9.75" customHeight="1">
      <c r="C36" s="97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9"/>
      <c r="AQ36" s="97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9"/>
    </row>
    <row r="37" spans="3:80" ht="9.75" customHeight="1">
      <c r="C37" s="97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  <c r="AB37" s="98"/>
      <c r="AC37" s="98"/>
      <c r="AD37" s="98"/>
      <c r="AE37" s="98"/>
      <c r="AF37" s="98"/>
      <c r="AG37" s="98"/>
      <c r="AH37" s="98"/>
      <c r="AI37" s="98"/>
      <c r="AJ37" s="98"/>
      <c r="AK37" s="98"/>
      <c r="AL37" s="98"/>
      <c r="AM37" s="98"/>
      <c r="AN37" s="99"/>
      <c r="AQ37" s="97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9"/>
    </row>
    <row r="38" spans="3:80" ht="9.75" customHeight="1">
      <c r="C38" s="97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9"/>
      <c r="AQ38" s="97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9"/>
    </row>
    <row r="39" spans="3:80" ht="9.75" customHeight="1">
      <c r="C39" s="97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9"/>
      <c r="AQ39" s="97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9"/>
    </row>
    <row r="40" spans="3:80" ht="9.75" customHeight="1">
      <c r="C40" s="97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9"/>
      <c r="AQ40" s="97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9"/>
    </row>
    <row r="41" spans="3:80" ht="9.75" customHeight="1">
      <c r="C41" s="97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9"/>
      <c r="AQ41" s="97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9"/>
    </row>
    <row r="42" spans="3:80" ht="9.75" customHeight="1">
      <c r="C42" s="97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  <c r="AB42" s="98"/>
      <c r="AC42" s="98"/>
      <c r="AD42" s="98"/>
      <c r="AE42" s="98"/>
      <c r="AF42" s="98"/>
      <c r="AG42" s="98"/>
      <c r="AH42" s="98"/>
      <c r="AI42" s="98"/>
      <c r="AJ42" s="98"/>
      <c r="AK42" s="98"/>
      <c r="AL42" s="98"/>
      <c r="AM42" s="98"/>
      <c r="AN42" s="99"/>
      <c r="AQ42" s="97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9"/>
    </row>
    <row r="43" spans="3:80" ht="9.75" customHeight="1">
      <c r="C43" s="97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  <c r="AH43" s="98"/>
      <c r="AI43" s="98"/>
      <c r="AJ43" s="98"/>
      <c r="AK43" s="98"/>
      <c r="AL43" s="98"/>
      <c r="AM43" s="98"/>
      <c r="AN43" s="99"/>
      <c r="AQ43" s="97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9"/>
    </row>
    <row r="44" spans="3:80" ht="9.75" customHeight="1">
      <c r="C44" s="97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9"/>
      <c r="AQ44" s="97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9"/>
    </row>
    <row r="45" spans="3:80" ht="9.75" customHeight="1">
      <c r="C45" s="97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  <c r="AH45" s="98"/>
      <c r="AI45" s="98"/>
      <c r="AJ45" s="98"/>
      <c r="AK45" s="98"/>
      <c r="AL45" s="98"/>
      <c r="AM45" s="98"/>
      <c r="AN45" s="99"/>
      <c r="AQ45" s="97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9"/>
    </row>
    <row r="46" spans="3:80" ht="9.75" customHeight="1" thickBot="1">
      <c r="C46" s="100"/>
      <c r="D46" s="101"/>
      <c r="E46" s="101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  <c r="AA46" s="101"/>
      <c r="AB46" s="101"/>
      <c r="AC46" s="101"/>
      <c r="AD46" s="101"/>
      <c r="AE46" s="101"/>
      <c r="AF46" s="101"/>
      <c r="AG46" s="101"/>
      <c r="AH46" s="101"/>
      <c r="AI46" s="101"/>
      <c r="AJ46" s="101"/>
      <c r="AK46" s="101"/>
      <c r="AL46" s="101"/>
      <c r="AM46" s="101"/>
      <c r="AN46" s="102"/>
      <c r="AQ46" s="100"/>
      <c r="AR46" s="101"/>
      <c r="AS46" s="101"/>
      <c r="AT46" s="101"/>
      <c r="AU46" s="101"/>
      <c r="AV46" s="101"/>
      <c r="AW46" s="101"/>
      <c r="AX46" s="101"/>
      <c r="AY46" s="101"/>
      <c r="AZ46" s="101"/>
      <c r="BA46" s="101"/>
      <c r="BB46" s="101"/>
      <c r="BC46" s="101"/>
      <c r="BD46" s="101"/>
      <c r="BE46" s="101"/>
      <c r="BF46" s="101"/>
      <c r="BG46" s="101"/>
      <c r="BH46" s="101"/>
      <c r="BI46" s="101"/>
      <c r="BJ46" s="101"/>
      <c r="BK46" s="101"/>
      <c r="BL46" s="101"/>
      <c r="BM46" s="101"/>
      <c r="BN46" s="101"/>
      <c r="BO46" s="101"/>
      <c r="BP46" s="101"/>
      <c r="BQ46" s="101"/>
      <c r="BR46" s="101"/>
      <c r="BS46" s="101"/>
      <c r="BT46" s="101"/>
      <c r="BU46" s="101"/>
      <c r="BV46" s="101"/>
      <c r="BW46" s="101"/>
      <c r="BX46" s="101"/>
      <c r="BY46" s="101"/>
      <c r="BZ46" s="101"/>
      <c r="CA46" s="101"/>
      <c r="CB46" s="102"/>
    </row>
  </sheetData>
  <mergeCells count="12">
    <mergeCell ref="C9:CB10"/>
    <mergeCell ref="C11:CB24"/>
    <mergeCell ref="C26:AN27"/>
    <mergeCell ref="C28:AN46"/>
    <mergeCell ref="AQ26:CB27"/>
    <mergeCell ref="AQ28:CB46"/>
    <mergeCell ref="W2:AN3"/>
    <mergeCell ref="W4:AN7"/>
    <mergeCell ref="AQ2:BH3"/>
    <mergeCell ref="AQ4:BH7"/>
    <mergeCell ref="BK2:CB3"/>
    <mergeCell ref="BK4:CB7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4F30766-877F-4CEE-8B61-99D4DA6E0404}">
  <ds:schemaRefs/>
</ds:datastoreItem>
</file>

<file path=customXml/itemProps2.xml><?xml version="1.0" encoding="utf-8"?>
<ds:datastoreItem xmlns:ds="http://schemas.openxmlformats.org/officeDocument/2006/customXml" ds:itemID="{8467EB31-1629-4343-9314-56544F2D7367}">
  <ds:schemaRefs/>
</ds:datastoreItem>
</file>

<file path=customXml/itemProps3.xml><?xml version="1.0" encoding="utf-8"?>
<ds:datastoreItem xmlns:ds="http://schemas.openxmlformats.org/officeDocument/2006/customXml" ds:itemID="{976831BA-0CE6-4B82-881B-24FD45E1155C}">
  <ds:schemaRefs/>
</ds:datastoreItem>
</file>

<file path=customXml/itemProps4.xml><?xml version="1.0" encoding="utf-8"?>
<ds:datastoreItem xmlns:ds="http://schemas.openxmlformats.org/officeDocument/2006/customXml" ds:itemID="{B21C3F93-5E73-42A5-930D-80E9914997CC}">
  <ds:schemaRefs/>
</ds:datastoreItem>
</file>

<file path=customXml/itemProps5.xml><?xml version="1.0" encoding="utf-8"?>
<ds:datastoreItem xmlns:ds="http://schemas.openxmlformats.org/officeDocument/2006/customXml" ds:itemID="{4A8E958C-7F93-4889-B450-DBCB563BE705}">
  <ds:schemaRefs/>
</ds:datastoreItem>
</file>

<file path=customXml/itemProps6.xml><?xml version="1.0" encoding="utf-8"?>
<ds:datastoreItem xmlns:ds="http://schemas.openxmlformats.org/officeDocument/2006/customXml" ds:itemID="{6E87F8A6-5B3C-4ADE-98DB-48C175F0A2B0}">
  <ds:schemaRefs/>
</ds:datastoreItem>
</file>

<file path=customXml/itemProps7.xml><?xml version="1.0" encoding="utf-8"?>
<ds:datastoreItem xmlns:ds="http://schemas.openxmlformats.org/officeDocument/2006/customXml" ds:itemID="{E137AB40-1728-4643-B64A-5DFE56A4798E}">
  <ds:schemaRefs/>
</ds:datastoreItem>
</file>

<file path=customXml/itemProps8.xml><?xml version="1.0" encoding="utf-8"?>
<ds:datastoreItem xmlns:ds="http://schemas.openxmlformats.org/officeDocument/2006/customXml" ds:itemID="{7430AFD6-EFE5-4BE1-9319-206C7B1443CC}">
  <ds:schemaRefs/>
</ds:datastoreItem>
</file>

<file path=customXml/itemProps9.xml><?xml version="1.0" encoding="utf-8"?>
<ds:datastoreItem xmlns:ds="http://schemas.openxmlformats.org/officeDocument/2006/customXml" ds:itemID="{CFF1F0D8-204A-4285-ACCE-1C1EC8D6DCA4}">
  <ds:schemaRefs/>
</ds:datastoreItem>
</file>

<file path=customXml/itemProps10.xml><?xml version="1.0" encoding="utf-8"?>
<ds:datastoreItem xmlns:ds="http://schemas.openxmlformats.org/officeDocument/2006/customXml" ds:itemID="{FEB846CC-C4DB-4A29-9886-491EACF56017}">
  <ds:schemaRefs/>
</ds:datastoreItem>
</file>

<file path=customXml/itemProps11.xml><?xml version="1.0" encoding="utf-8"?>
<ds:datastoreItem xmlns:ds="http://schemas.openxmlformats.org/officeDocument/2006/customXml" ds:itemID="{9FF1ABD4-0E1D-4F5B-8A1F-C50AB3C4C016}">
  <ds:schemaRefs/>
</ds:datastoreItem>
</file>

<file path=customXml/itemProps12.xml><?xml version="1.0" encoding="utf-8"?>
<ds:datastoreItem xmlns:ds="http://schemas.openxmlformats.org/officeDocument/2006/customXml" ds:itemID="{34D6944D-B02F-438B-81ED-2A2D371A568A}">
  <ds:schemaRefs/>
</ds:datastoreItem>
</file>

<file path=customXml/itemProps13.xml><?xml version="1.0" encoding="utf-8"?>
<ds:datastoreItem xmlns:ds="http://schemas.openxmlformats.org/officeDocument/2006/customXml" ds:itemID="{97313128-AD53-4DDC-A22F-70331783453A}">
  <ds:schemaRefs/>
</ds:datastoreItem>
</file>

<file path=customXml/itemProps14.xml><?xml version="1.0" encoding="utf-8"?>
<ds:datastoreItem xmlns:ds="http://schemas.openxmlformats.org/officeDocument/2006/customXml" ds:itemID="{FF8B36F1-0B57-4651-A8DC-05B8AE2DF7E3}">
  <ds:schemaRefs/>
</ds:datastoreItem>
</file>

<file path=customXml/itemProps15.xml><?xml version="1.0" encoding="utf-8"?>
<ds:datastoreItem xmlns:ds="http://schemas.openxmlformats.org/officeDocument/2006/customXml" ds:itemID="{79D16121-7E91-4B86-8BF9-A32ECFD917F0}">
  <ds:schemaRefs/>
</ds:datastoreItem>
</file>

<file path=customXml/itemProps16.xml><?xml version="1.0" encoding="utf-8"?>
<ds:datastoreItem xmlns:ds="http://schemas.openxmlformats.org/officeDocument/2006/customXml" ds:itemID="{A89AD3CE-FDE0-4F38-905F-809BEF76288C}">
  <ds:schemaRefs/>
</ds:datastoreItem>
</file>

<file path=customXml/itemProps17.xml><?xml version="1.0" encoding="utf-8"?>
<ds:datastoreItem xmlns:ds="http://schemas.openxmlformats.org/officeDocument/2006/customXml" ds:itemID="{0AEF0D11-1CD8-4D87-9951-17DFA40C2F48}">
  <ds:schemaRefs/>
</ds:datastoreItem>
</file>

<file path=customXml/itemProps18.xml><?xml version="1.0" encoding="utf-8"?>
<ds:datastoreItem xmlns:ds="http://schemas.openxmlformats.org/officeDocument/2006/customXml" ds:itemID="{75479A2E-932A-4BB7-BE16-99EDAE56A3C8}">
  <ds:schemaRefs/>
</ds:datastoreItem>
</file>

<file path=customXml/itemProps19.xml><?xml version="1.0" encoding="utf-8"?>
<ds:datastoreItem xmlns:ds="http://schemas.openxmlformats.org/officeDocument/2006/customXml" ds:itemID="{C256F258-2A0D-4237-9929-9797575E67DF}">
  <ds:schemaRefs/>
</ds:datastoreItem>
</file>

<file path=customXml/itemProps20.xml><?xml version="1.0" encoding="utf-8"?>
<ds:datastoreItem xmlns:ds="http://schemas.openxmlformats.org/officeDocument/2006/customXml" ds:itemID="{17C22D2E-B506-444E-B0DF-4E6DCD17CA6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3</vt:i4>
      </vt:variant>
    </vt:vector>
  </HeadingPairs>
  <TitlesOfParts>
    <vt:vector size="13" baseType="lpstr">
      <vt:lpstr>Menu</vt:lpstr>
      <vt:lpstr>Produtos</vt:lpstr>
      <vt:lpstr>Vendedores</vt:lpstr>
      <vt:lpstr>Vendas</vt:lpstr>
      <vt:lpstr>Consultas</vt:lpstr>
      <vt:lpstr>DN_Produtos</vt:lpstr>
      <vt:lpstr>DN_Vendas</vt:lpstr>
      <vt:lpstr>Cadastros Auxiliares</vt:lpstr>
      <vt:lpstr>DN_Vendedores</vt:lpstr>
      <vt:lpstr>Dashboard</vt:lpstr>
      <vt:lpstr>Desc_Categorias</vt:lpstr>
      <vt:lpstr>Desc_Quantidades</vt:lpstr>
      <vt:lpstr>Desc_TabelaToda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Thierry Lucas Chaves</cp:lastModifiedBy>
  <cp:lastPrinted>2023-06-07T14:57:58Z</cp:lastPrinted>
  <dcterms:created xsi:type="dcterms:W3CDTF">2023-06-02T17:54:12Z</dcterms:created>
  <dcterms:modified xsi:type="dcterms:W3CDTF">2026-06-07T00:57:21Z</dcterms:modified>
</cp:coreProperties>
</file>