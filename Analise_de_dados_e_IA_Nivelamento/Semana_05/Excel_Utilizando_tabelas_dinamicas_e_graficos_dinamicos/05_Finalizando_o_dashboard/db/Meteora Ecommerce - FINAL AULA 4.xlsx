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pivotCache/pivotCacheDefinition8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slicers/slicer1.xml" ContentType="application/vnd.ms-excel.slicer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timelines/timeline1.xml" ContentType="application/vnd.ms-excel.timelin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5\Excel_Utilizando_tabelas_dinamicas_e_graficos_dinamicos\05_Finalizando_o_dashboard\db\"/>
    </mc:Choice>
  </mc:AlternateContent>
  <xr:revisionPtr revIDLastSave="0" documentId="13_ncr:1_{18FEBA3A-6DDB-420D-9677-E4FB2829EC0D}" xr6:coauthVersionLast="47" xr6:coauthVersionMax="47" xr10:uidLastSave="{00000000-0000-0000-0000-000000000000}"/>
  <bookViews>
    <workbookView xWindow="-120" yWindow="-120" windowWidth="29040" windowHeight="15720" tabRatio="860" activeTab="5" xr2:uid="{F6D97A53-F63B-4272-A181-44B26E0B790F}"/>
  </bookViews>
  <sheets>
    <sheet name="Menu" sheetId="25" r:id="rId1"/>
    <sheet name="Produtos" sheetId="17" r:id="rId2"/>
    <sheet name="Vendedores" sheetId="28" r:id="rId3"/>
    <sheet name="Vendas" sheetId="16" r:id="rId4"/>
    <sheet name="Vendas histórico" sheetId="41" r:id="rId5"/>
    <sheet name="DN_Vendas_Hist" sheetId="42" r:id="rId6"/>
    <sheet name="Consultas" sheetId="24" state="hidden" r:id="rId7"/>
    <sheet name="DN_Produtos" sheetId="35" state="hidden" r:id="rId8"/>
    <sheet name="DN_Vendas" sheetId="37" state="hidden" r:id="rId9"/>
    <sheet name="Cadastros Auxiliares" sheetId="23" state="hidden" r:id="rId10"/>
    <sheet name="DN_Vendedores" sheetId="39" state="hidden" r:id="rId11"/>
    <sheet name="Dashboard" sheetId="18" r:id="rId12"/>
    <sheet name="Dashboard Histórico" sheetId="40" r:id="rId13"/>
  </sheets>
  <definedNames>
    <definedName name="_xlnm._FilterDatabase" localSheetId="3" hidden="1">Vendas!$B$4:$E$86</definedName>
    <definedName name="_xlcn.WorksheetConnection_MeteoraEcommerce.xlsxTB_Produtos1" hidden="1">TB_Produtos[]</definedName>
    <definedName name="_xlcn.WorksheetConnection_MeteoraEcommerce.xlsxTB_Vendas1" hidden="1">TB_Vendas[]</definedName>
    <definedName name="_xlcn.WorksheetConnection_MeteoraEcommerceFINALAULA4.xlsxtb_vendas_hist1" hidden="1">tb_vendas_hist[]</definedName>
    <definedName name="_xlcn.WorksheetConnection_VendedoresA4D91" hidden="1">Vendedores!$A$4:$D$9</definedName>
    <definedName name="DadosExternos_1" localSheetId="4" hidden="1">'Vendas histórico'!$A$1:$H$253</definedName>
    <definedName name="Desc_Categorias">'Cadastros Auxiliares'!$B$8:$E$8</definedName>
    <definedName name="Desc_Quantidades">'Cadastros Auxiliares'!$B$8:$B$13</definedName>
    <definedName name="Desc_TabelaToda">'Cadastros Auxiliares'!$B$8:$E$13</definedName>
    <definedName name="Int_Nome_Produtos">#REF!</definedName>
    <definedName name="Int_Quantidade">#REF!</definedName>
    <definedName name="SegmentaçãodeDados_Categoria1">#N/A</definedName>
    <definedName name="Timeline_Data">#N/A</definedName>
  </definedNames>
  <calcPr calcId="191029"/>
  <pivotCaches>
    <pivotCache cacheId="0" r:id="rId14"/>
    <pivotCache cacheId="67" r:id="rId15"/>
    <pivotCache cacheId="68" r:id="rId16"/>
    <pivotCache cacheId="321" r:id="rId17"/>
    <pivotCache cacheId="367" r:id="rId18"/>
    <pivotCache cacheId="370" r:id="rId19"/>
    <pivotCache cacheId="387" r:id="rId20"/>
  </pivotCaches>
  <extLst>
    <ext xmlns:x14="http://schemas.microsoft.com/office/spreadsheetml/2009/9/main" uri="{BBE1A952-AA13-448e-AADC-164F8A28A991}">
      <x14:slicerCaches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324" r:id="rId22"/>
      </x15:timelineCachePivotCaches>
    </ext>
    <ext xmlns:x15="http://schemas.microsoft.com/office/spreadsheetml/2010/11/main" uri="{D0CA8CA8-9F24-4464-BF8E-62219DCF47F9}">
      <x15:timelineCacheRefs>
        <x15:timelineCacheRef r:id="rId23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Vendedores!$A$4:$D$9"/>
          <x15:modelTable id="TB_Vendas" name="TB_Vendas" connection="WorksheetConnection_Meteora Ecommerce.xlsx!TB_Vendas"/>
          <x15:modelTable id="TB_Produtos" name="TB_Produtos" connection="WorksheetConnection_Meteora Ecommerce.xlsx!TB_Produtos"/>
          <x15:modelTable id="tb_vendas_hist" name="tb_vendas_hist" connection="WorksheetConnection_Meteora Ecommerce - FINAL AULA 4.xlsx!tb_vendas_hist"/>
        </x15:modelTables>
        <x15:modelRelationships>
          <x15:modelRelationship fromTable="TB_Vendas" fromColumn="Código" toTable="TB_Produtos" toColumn="Código"/>
          <x15:modelRelationship fromTable="TB_Vendas" fromColumn="Vendedor" toTable="Intervalo" toColumn="Código"/>
          <x15:modelRelationship fromTable="tb_vendas_hist" fromColumn="Código" toTable="TB_Produtos" toColumn="Código"/>
          <x15:modelRelationship fromTable="tb_vendas_hist" fromColumn="Vendedor" toTable="Intervalo" toColumn="Códig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_Vendas" columnName="Data" columnId="Data"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  <x16:modelTimeGrouping tableName="tb_vendas_hist" columnName="Data" columnId="Data">
                <x16:calculatedTimeColumn columnName="Data (Ano)" columnId="Data (Ano)" contentType="years" isSelected="1"/>
                <x16:calculatedTimeColumn columnName="Data (Trimestre)" columnId="Data (Trimestre)" contentType="quarters" isSelected="1"/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42" l="1"/>
  <c r="N5" i="42"/>
  <c r="N4" i="42"/>
  <c r="M6" i="42"/>
  <c r="M5" i="42"/>
  <c r="M4" i="42"/>
  <c r="L6" i="42"/>
  <c r="L5" i="42"/>
  <c r="L4" i="42"/>
  <c r="K5" i="42"/>
  <c r="K6" i="42"/>
  <c r="K4" i="42"/>
  <c r="I6" i="37"/>
  <c r="I5" i="37"/>
  <c r="I4" i="37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C10" i="24"/>
  <c r="C9" i="24"/>
  <c r="C13" i="24" s="1"/>
  <c r="D5" i="16"/>
  <c r="G5" i="16" s="1"/>
  <c r="H5" i="16" s="1"/>
  <c r="D6" i="16"/>
  <c r="G6" i="16" s="1"/>
  <c r="H6" i="16" s="1"/>
  <c r="D7" i="16"/>
  <c r="G7" i="16" s="1"/>
  <c r="H7" i="16" s="1"/>
  <c r="D8" i="16"/>
  <c r="G8" i="16" s="1"/>
  <c r="H8" i="16" s="1"/>
  <c r="D9" i="16"/>
  <c r="G9" i="16" s="1"/>
  <c r="H9" i="16" s="1"/>
  <c r="D10" i="16"/>
  <c r="G10" i="16" s="1"/>
  <c r="H10" i="16" s="1"/>
  <c r="D11" i="16"/>
  <c r="G11" i="16" s="1"/>
  <c r="H11" i="16" s="1"/>
  <c r="D12" i="16"/>
  <c r="G12" i="16" s="1"/>
  <c r="H12" i="16" s="1"/>
  <c r="D13" i="16"/>
  <c r="G13" i="16" s="1"/>
  <c r="H13" i="16" s="1"/>
  <c r="D14" i="16"/>
  <c r="G14" i="16" s="1"/>
  <c r="H14" i="16" s="1"/>
  <c r="D15" i="16"/>
  <c r="G15" i="16" s="1"/>
  <c r="H15" i="16" s="1"/>
  <c r="D16" i="16"/>
  <c r="G16" i="16" s="1"/>
  <c r="H16" i="16" s="1"/>
  <c r="D17" i="16"/>
  <c r="G17" i="16" s="1"/>
  <c r="H17" i="16" s="1"/>
  <c r="D18" i="16"/>
  <c r="G18" i="16" s="1"/>
  <c r="H18" i="16" s="1"/>
  <c r="D19" i="16"/>
  <c r="G19" i="16" s="1"/>
  <c r="H19" i="16" s="1"/>
  <c r="D20" i="16"/>
  <c r="G20" i="16" s="1"/>
  <c r="H20" i="16" s="1"/>
  <c r="D21" i="16"/>
  <c r="G21" i="16" s="1"/>
  <c r="H21" i="16" s="1"/>
  <c r="D22" i="16"/>
  <c r="G22" i="16" s="1"/>
  <c r="H22" i="16" s="1"/>
  <c r="D23" i="16"/>
  <c r="G23" i="16" s="1"/>
  <c r="H23" i="16" s="1"/>
  <c r="D24" i="16"/>
  <c r="G24" i="16" s="1"/>
  <c r="H24" i="16" s="1"/>
  <c r="D25" i="16"/>
  <c r="G25" i="16" s="1"/>
  <c r="H25" i="16" s="1"/>
  <c r="D26" i="16"/>
  <c r="G26" i="16" s="1"/>
  <c r="H26" i="16" s="1"/>
  <c r="D27" i="16"/>
  <c r="G27" i="16" s="1"/>
  <c r="H27" i="16" s="1"/>
  <c r="D28" i="16"/>
  <c r="G28" i="16" s="1"/>
  <c r="H28" i="16" s="1"/>
  <c r="D29" i="16"/>
  <c r="G29" i="16" s="1"/>
  <c r="H29" i="16" s="1"/>
  <c r="D30" i="16"/>
  <c r="G30" i="16" s="1"/>
  <c r="H30" i="16" s="1"/>
  <c r="D31" i="16"/>
  <c r="G31" i="16" s="1"/>
  <c r="H31" i="16" s="1"/>
  <c r="D32" i="16"/>
  <c r="G32" i="16" s="1"/>
  <c r="H32" i="16" s="1"/>
  <c r="D33" i="16"/>
  <c r="G33" i="16" s="1"/>
  <c r="H33" i="16" s="1"/>
  <c r="D34" i="16"/>
  <c r="G34" i="16" s="1"/>
  <c r="H34" i="16" s="1"/>
  <c r="D35" i="16"/>
  <c r="G35" i="16" s="1"/>
  <c r="H35" i="16" s="1"/>
  <c r="D36" i="16"/>
  <c r="G36" i="16" s="1"/>
  <c r="H36" i="16" s="1"/>
  <c r="D37" i="16"/>
  <c r="G37" i="16" s="1"/>
  <c r="H37" i="16" s="1"/>
  <c r="D38" i="16"/>
  <c r="G38" i="16" s="1"/>
  <c r="H38" i="16" s="1"/>
  <c r="D39" i="16"/>
  <c r="G39" i="16" s="1"/>
  <c r="H39" i="16" s="1"/>
  <c r="D40" i="16"/>
  <c r="G40" i="16" s="1"/>
  <c r="H40" i="16" s="1"/>
  <c r="D41" i="16"/>
  <c r="G41" i="16" s="1"/>
  <c r="H41" i="16" s="1"/>
  <c r="D42" i="16"/>
  <c r="G42" i="16" s="1"/>
  <c r="H42" i="16" s="1"/>
  <c r="D43" i="16"/>
  <c r="G43" i="16" s="1"/>
  <c r="H43" i="16" s="1"/>
  <c r="D44" i="16"/>
  <c r="G44" i="16" s="1"/>
  <c r="H44" i="16" s="1"/>
  <c r="D45" i="16"/>
  <c r="G45" i="16" s="1"/>
  <c r="H45" i="16" s="1"/>
  <c r="D46" i="16"/>
  <c r="G46" i="16" s="1"/>
  <c r="H46" i="16" s="1"/>
  <c r="D47" i="16"/>
  <c r="G47" i="16" s="1"/>
  <c r="H47" i="16" s="1"/>
  <c r="D48" i="16"/>
  <c r="G48" i="16" s="1"/>
  <c r="H48" i="16" s="1"/>
  <c r="D49" i="16"/>
  <c r="G49" i="16" s="1"/>
  <c r="H49" i="16" s="1"/>
  <c r="D50" i="16"/>
  <c r="G50" i="16" s="1"/>
  <c r="H50" i="16" s="1"/>
  <c r="D51" i="16"/>
  <c r="G51" i="16" s="1"/>
  <c r="H51" i="16" s="1"/>
  <c r="D52" i="16"/>
  <c r="G52" i="16" s="1"/>
  <c r="H52" i="16" s="1"/>
  <c r="D53" i="16"/>
  <c r="G53" i="16" s="1"/>
  <c r="H53" i="16" s="1"/>
  <c r="D54" i="16"/>
  <c r="G54" i="16" s="1"/>
  <c r="H54" i="16" s="1"/>
  <c r="D55" i="16"/>
  <c r="G55" i="16" s="1"/>
  <c r="H55" i="16" s="1"/>
  <c r="D56" i="16"/>
  <c r="G56" i="16" s="1"/>
  <c r="H56" i="16" s="1"/>
  <c r="D57" i="16"/>
  <c r="G57" i="16" s="1"/>
  <c r="H57" i="16" s="1"/>
  <c r="D58" i="16"/>
  <c r="G58" i="16" s="1"/>
  <c r="H58" i="16" s="1"/>
  <c r="D59" i="16"/>
  <c r="G59" i="16" s="1"/>
  <c r="H59" i="16" s="1"/>
  <c r="D60" i="16"/>
  <c r="G60" i="16" s="1"/>
  <c r="H60" i="16" s="1"/>
  <c r="D61" i="16"/>
  <c r="G61" i="16" s="1"/>
  <c r="H61" i="16" s="1"/>
  <c r="D62" i="16"/>
  <c r="G62" i="16" s="1"/>
  <c r="H62" i="16" s="1"/>
  <c r="D63" i="16"/>
  <c r="G63" i="16" s="1"/>
  <c r="H63" i="16" s="1"/>
  <c r="D64" i="16"/>
  <c r="G64" i="16" s="1"/>
  <c r="H64" i="16" s="1"/>
  <c r="D65" i="16"/>
  <c r="G65" i="16" s="1"/>
  <c r="H65" i="16" s="1"/>
  <c r="D66" i="16"/>
  <c r="G66" i="16" s="1"/>
  <c r="H66" i="16" s="1"/>
  <c r="D67" i="16"/>
  <c r="G67" i="16" s="1"/>
  <c r="H67" i="16" s="1"/>
  <c r="D68" i="16"/>
  <c r="G68" i="16" s="1"/>
  <c r="H68" i="16" s="1"/>
  <c r="D69" i="16"/>
  <c r="G69" i="16" s="1"/>
  <c r="H69" i="16" s="1"/>
  <c r="D70" i="16"/>
  <c r="G70" i="16" s="1"/>
  <c r="H70" i="16" s="1"/>
  <c r="D71" i="16"/>
  <c r="G71" i="16" s="1"/>
  <c r="H71" i="16" s="1"/>
  <c r="D72" i="16"/>
  <c r="G72" i="16" s="1"/>
  <c r="H72" i="16" s="1"/>
  <c r="D73" i="16"/>
  <c r="G73" i="16" s="1"/>
  <c r="H73" i="16" s="1"/>
  <c r="D74" i="16"/>
  <c r="G74" i="16" s="1"/>
  <c r="H74" i="16" s="1"/>
  <c r="D75" i="16"/>
  <c r="G75" i="16" s="1"/>
  <c r="H75" i="16" s="1"/>
  <c r="D76" i="16"/>
  <c r="G76" i="16" s="1"/>
  <c r="H76" i="16" s="1"/>
  <c r="D77" i="16"/>
  <c r="G77" i="16" s="1"/>
  <c r="H77" i="16" s="1"/>
  <c r="D78" i="16"/>
  <c r="G78" i="16" s="1"/>
  <c r="H78" i="16" s="1"/>
  <c r="D79" i="16"/>
  <c r="G79" i="16" s="1"/>
  <c r="H79" i="16" s="1"/>
  <c r="D80" i="16"/>
  <c r="G80" i="16" s="1"/>
  <c r="H80" i="16" s="1"/>
  <c r="D81" i="16"/>
  <c r="G81" i="16" s="1"/>
  <c r="H81" i="16" s="1"/>
  <c r="D82" i="16"/>
  <c r="G82" i="16" s="1"/>
  <c r="H82" i="16" s="1"/>
  <c r="D83" i="16"/>
  <c r="G83" i="16" s="1"/>
  <c r="H83" i="16" s="1"/>
  <c r="D84" i="16"/>
  <c r="G84" i="16" s="1"/>
  <c r="H84" i="16" s="1"/>
  <c r="D85" i="16"/>
  <c r="G85" i="16" s="1"/>
  <c r="H85" i="16" s="1"/>
  <c r="D86" i="16"/>
  <c r="G86" i="16" s="1"/>
  <c r="H86" i="16" s="1"/>
  <c r="I5" i="16" a="1"/>
  <c r="I5" i="16" s="1"/>
  <c r="I6" i="16" a="1"/>
  <c r="I6" i="16" s="1"/>
  <c r="I7" i="16" a="1"/>
  <c r="I7" i="16" s="1"/>
  <c r="I8" i="16" a="1"/>
  <c r="I8" i="16" s="1"/>
  <c r="I9" i="16" a="1"/>
  <c r="I9" i="16" s="1"/>
  <c r="I10" i="16" a="1"/>
  <c r="I10" i="16" s="1"/>
  <c r="I11" i="16" a="1"/>
  <c r="I11" i="16" s="1"/>
  <c r="I12" i="16" a="1"/>
  <c r="I12" i="16" s="1"/>
  <c r="I13" i="16" a="1"/>
  <c r="I13" i="16" s="1"/>
  <c r="I14" i="16" a="1"/>
  <c r="I14" i="16" s="1"/>
  <c r="I15" i="16" a="1"/>
  <c r="I15" i="16" s="1"/>
  <c r="I16" i="16" a="1"/>
  <c r="I16" i="16" s="1"/>
  <c r="I17" i="16" a="1"/>
  <c r="I17" i="16" s="1"/>
  <c r="I18" i="16" a="1"/>
  <c r="I18" i="16" s="1"/>
  <c r="I19" i="16" a="1"/>
  <c r="I19" i="16" s="1"/>
  <c r="I20" i="16" a="1"/>
  <c r="I20" i="16" s="1"/>
  <c r="I21" i="16" a="1"/>
  <c r="I21" i="16" s="1"/>
  <c r="I22" i="16" a="1"/>
  <c r="I22" i="16" s="1"/>
  <c r="I23" i="16" a="1"/>
  <c r="I23" i="16" s="1"/>
  <c r="I24" i="16" a="1"/>
  <c r="I24" i="16" s="1"/>
  <c r="I25" i="16" a="1"/>
  <c r="I25" i="16" s="1"/>
  <c r="I26" i="16" a="1"/>
  <c r="I26" i="16" s="1"/>
  <c r="I27" i="16" a="1"/>
  <c r="I27" i="16" s="1"/>
  <c r="I28" i="16" a="1"/>
  <c r="I28" i="16" s="1"/>
  <c r="I29" i="16" a="1"/>
  <c r="I29" i="16" s="1"/>
  <c r="I30" i="16" a="1"/>
  <c r="I30" i="16" s="1"/>
  <c r="I31" i="16" a="1"/>
  <c r="I31" i="16" s="1"/>
  <c r="I32" i="16" a="1"/>
  <c r="I32" i="16" s="1"/>
  <c r="I33" i="16" a="1"/>
  <c r="I33" i="16" s="1"/>
  <c r="I34" i="16" a="1"/>
  <c r="I34" i="16" s="1"/>
  <c r="I35" i="16" a="1"/>
  <c r="I35" i="16" s="1"/>
  <c r="I36" i="16" a="1"/>
  <c r="I36" i="16" s="1"/>
  <c r="I37" i="16" a="1"/>
  <c r="I37" i="16" s="1"/>
  <c r="I38" i="16" a="1"/>
  <c r="I38" i="16" s="1"/>
  <c r="I39" i="16" a="1"/>
  <c r="I39" i="16" s="1"/>
  <c r="I40" i="16" a="1"/>
  <c r="I40" i="16" s="1"/>
  <c r="I41" i="16" a="1"/>
  <c r="I41" i="16" s="1"/>
  <c r="I42" i="16" a="1"/>
  <c r="I42" i="16" s="1"/>
  <c r="I43" i="16" a="1"/>
  <c r="I43" i="16" s="1"/>
  <c r="I44" i="16" a="1"/>
  <c r="I44" i="16" s="1"/>
  <c r="I45" i="16" a="1"/>
  <c r="I45" i="16" s="1"/>
  <c r="I46" i="16" a="1"/>
  <c r="I46" i="16" s="1"/>
  <c r="I47" i="16" a="1"/>
  <c r="I47" i="16" s="1"/>
  <c r="I48" i="16" a="1"/>
  <c r="I48" i="16" s="1"/>
  <c r="I49" i="16" a="1"/>
  <c r="I49" i="16" s="1"/>
  <c r="I50" i="16" a="1"/>
  <c r="I50" i="16" s="1"/>
  <c r="I51" i="16" a="1"/>
  <c r="I51" i="16" s="1"/>
  <c r="I52" i="16" a="1"/>
  <c r="I52" i="16" s="1"/>
  <c r="I53" i="16" a="1"/>
  <c r="I53" i="16" s="1"/>
  <c r="I54" i="16" a="1"/>
  <c r="I54" i="16" s="1"/>
  <c r="I55" i="16" a="1"/>
  <c r="I55" i="16" s="1"/>
  <c r="I56" i="16" a="1"/>
  <c r="I56" i="16" s="1"/>
  <c r="I57" i="16" a="1"/>
  <c r="I57" i="16" s="1"/>
  <c r="I58" i="16" a="1"/>
  <c r="I58" i="16" s="1"/>
  <c r="I59" i="16" a="1"/>
  <c r="I59" i="16" s="1"/>
  <c r="I60" i="16" a="1"/>
  <c r="I60" i="16" s="1"/>
  <c r="I61" i="16" a="1"/>
  <c r="I61" i="16" s="1"/>
  <c r="I62" i="16" a="1"/>
  <c r="I62" i="16" s="1"/>
  <c r="I63" i="16" a="1"/>
  <c r="I63" i="16" s="1"/>
  <c r="I64" i="16" a="1"/>
  <c r="I64" i="16" s="1"/>
  <c r="I65" i="16" a="1"/>
  <c r="I65" i="16" s="1"/>
  <c r="I66" i="16" a="1"/>
  <c r="I66" i="16" s="1"/>
  <c r="I67" i="16" a="1"/>
  <c r="I67" i="16" s="1"/>
  <c r="I68" i="16" a="1"/>
  <c r="I68" i="16" s="1"/>
  <c r="I69" i="16" a="1"/>
  <c r="I69" i="16" s="1"/>
  <c r="I70" i="16" a="1"/>
  <c r="I70" i="16" s="1"/>
  <c r="I71" i="16" a="1"/>
  <c r="I71" i="16" s="1"/>
  <c r="I72" i="16" a="1"/>
  <c r="I72" i="16" s="1"/>
  <c r="I73" i="16" a="1"/>
  <c r="I73" i="16" s="1"/>
  <c r="I74" i="16" a="1"/>
  <c r="I74" i="16" s="1"/>
  <c r="I75" i="16" a="1"/>
  <c r="I75" i="16" s="1"/>
  <c r="I76" i="16" a="1"/>
  <c r="I76" i="16" s="1"/>
  <c r="I77" i="16" a="1"/>
  <c r="I77" i="16" s="1"/>
  <c r="I78" i="16" a="1"/>
  <c r="I78" i="16" s="1"/>
  <c r="I79" i="16" a="1"/>
  <c r="I79" i="16" s="1"/>
  <c r="I80" i="16" a="1"/>
  <c r="I80" i="16" s="1"/>
  <c r="I81" i="16" a="1"/>
  <c r="I81" i="16" s="1"/>
  <c r="I82" i="16" a="1"/>
  <c r="I82" i="16" s="1"/>
  <c r="I83" i="16" a="1"/>
  <c r="I83" i="16" s="1"/>
  <c r="I84" i="16" a="1"/>
  <c r="I84" i="16" s="1"/>
  <c r="I85" i="16" a="1"/>
  <c r="I85" i="16" s="1"/>
  <c r="I86" i="16" a="1"/>
  <c r="I86" i="16" s="1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C11" i="24" a="1"/>
  <c r="C11" i="24" s="1"/>
  <c r="F7" i="24"/>
  <c r="C8" i="24" a="1"/>
  <c r="C8" i="24" s="1"/>
  <c r="C7" i="24"/>
  <c r="F9" i="24"/>
  <c r="K6" i="37"/>
  <c r="J6" i="37"/>
  <c r="K5" i="37"/>
  <c r="J5" i="37"/>
  <c r="K4" i="37"/>
  <c r="J4" i="37"/>
  <c r="BK4" i="18"/>
  <c r="AQ4" i="18"/>
  <c r="W4" i="18"/>
  <c r="C12" i="24" l="1" a="1"/>
  <c r="C12" i="24" s="1"/>
  <c r="K51" i="16"/>
  <c r="K39" i="16"/>
  <c r="K27" i="16"/>
  <c r="K15" i="16"/>
  <c r="K50" i="16"/>
  <c r="K38" i="16"/>
  <c r="K26" i="16"/>
  <c r="K14" i="16"/>
  <c r="K76" i="16"/>
  <c r="K64" i="16"/>
  <c r="K52" i="16"/>
  <c r="K40" i="16"/>
  <c r="K28" i="16"/>
  <c r="K16" i="16"/>
  <c r="K85" i="16"/>
  <c r="K73" i="16"/>
  <c r="K61" i="16"/>
  <c r="K49" i="16"/>
  <c r="K37" i="16"/>
  <c r="K25" i="16"/>
  <c r="K13" i="16"/>
  <c r="K86" i="16"/>
  <c r="K84" i="16"/>
  <c r="K72" i="16"/>
  <c r="K60" i="16"/>
  <c r="K48" i="16"/>
  <c r="K36" i="16"/>
  <c r="K24" i="16"/>
  <c r="K12" i="16"/>
  <c r="K83" i="16"/>
  <c r="K71" i="16"/>
  <c r="K59" i="16"/>
  <c r="K47" i="16"/>
  <c r="K35" i="16"/>
  <c r="K23" i="16"/>
  <c r="K11" i="16"/>
  <c r="K82" i="16"/>
  <c r="K70" i="16"/>
  <c r="K58" i="16"/>
  <c r="K46" i="16"/>
  <c r="K34" i="16"/>
  <c r="K22" i="16"/>
  <c r="K10" i="16"/>
  <c r="K81" i="16"/>
  <c r="K69" i="16"/>
  <c r="K57" i="16"/>
  <c r="K45" i="16"/>
  <c r="K33" i="16"/>
  <c r="K21" i="16"/>
  <c r="K9" i="16"/>
  <c r="K63" i="16"/>
  <c r="K80" i="16"/>
  <c r="K68" i="16"/>
  <c r="K56" i="16"/>
  <c r="K44" i="16"/>
  <c r="K32" i="16"/>
  <c r="K20" i="16"/>
  <c r="K8" i="16"/>
  <c r="K62" i="16"/>
  <c r="K79" i="16"/>
  <c r="K67" i="16"/>
  <c r="K55" i="16"/>
  <c r="K43" i="16"/>
  <c r="K31" i="16"/>
  <c r="K19" i="16"/>
  <c r="K7" i="16"/>
  <c r="K78" i="16"/>
  <c r="K66" i="16"/>
  <c r="K54" i="16"/>
  <c r="K42" i="16"/>
  <c r="K30" i="16"/>
  <c r="K18" i="16"/>
  <c r="K6" i="16"/>
  <c r="K75" i="16"/>
  <c r="K74" i="16"/>
  <c r="K77" i="16"/>
  <c r="K65" i="16"/>
  <c r="K53" i="16"/>
  <c r="K41" i="16"/>
  <c r="K29" i="16"/>
  <c r="K17" i="16"/>
  <c r="K5" i="16"/>
  <c r="L68" i="16"/>
  <c r="L76" i="16"/>
  <c r="A76" i="16"/>
  <c r="A77" i="16"/>
  <c r="A78" i="16"/>
  <c r="A79" i="16"/>
  <c r="A80" i="16"/>
  <c r="A81" i="16"/>
  <c r="A82" i="16"/>
  <c r="A83" i="16"/>
  <c r="A84" i="16"/>
  <c r="A85" i="16"/>
  <c r="A86" i="16"/>
  <c r="A65" i="16"/>
  <c r="A66" i="16"/>
  <c r="A67" i="16"/>
  <c r="A68" i="16"/>
  <c r="A69" i="16"/>
  <c r="A70" i="16"/>
  <c r="A71" i="16"/>
  <c r="A72" i="16"/>
  <c r="A73" i="16"/>
  <c r="A74" i="16"/>
  <c r="A75" i="16"/>
  <c r="A64" i="16"/>
  <c r="A5" i="16"/>
  <c r="L83" i="16" l="1"/>
  <c r="L75" i="16"/>
  <c r="L73" i="16"/>
  <c r="L65" i="16"/>
  <c r="L64" i="16"/>
  <c r="L79" i="16"/>
  <c r="L71" i="16"/>
  <c r="L80" i="16"/>
  <c r="L72" i="16"/>
  <c r="L84" i="16"/>
  <c r="L67" i="16"/>
  <c r="L82" i="16"/>
  <c r="L74" i="16"/>
  <c r="L66" i="16"/>
  <c r="L86" i="16"/>
  <c r="L78" i="16"/>
  <c r="L70" i="16"/>
  <c r="L85" i="16"/>
  <c r="L77" i="16"/>
  <c r="L69" i="16"/>
  <c r="L81" i="16"/>
  <c r="L5" i="16" l="1"/>
  <c r="L6" i="16"/>
  <c r="L7" i="16"/>
  <c r="L8" i="16"/>
  <c r="L9" i="16"/>
  <c r="L10" i="16"/>
  <c r="L11" i="16"/>
  <c r="F8" i="24" s="1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A23" i="16" l="1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662203-9787-4F14-9695-F9DC0DC6796D}" keepAlive="1" name="Consulta - Vendas" description="Conexão com a consulta 'Vendas' na pasta de trabalho." type="5" refreshedVersion="8" background="1" saveData="1">
    <dbPr connection="Provider=Microsoft.Mashup.OleDb.1;Data Source=$Workbook$;Location=Vendas;Extended Properties=&quot;&quot;" command="SELECT * FROM [Vendas]"/>
  </connection>
  <connection id="2" xr16:uid="{A2554D6A-4395-410E-8AC5-554DBF546DD1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A3DFD06-ECFC-4690-BFCB-BAB13719AE4F}" name="WorksheetConnection_Meteora Ecommerce - FINAL AULA 4.xlsx!tb_vendas_hist" type="102" refreshedVersion="8" minRefreshableVersion="5">
    <extLst>
      <ext xmlns:x15="http://schemas.microsoft.com/office/spreadsheetml/2010/11/main" uri="{DE250136-89BD-433C-8126-D09CA5730AF9}">
        <x15:connection id="tb_vendas_hist" autoDelete="1">
          <x15:rangePr sourceName="_xlcn.WorksheetConnection_MeteoraEcommerceFINALAULA4.xlsxtb_vendas_hist1"/>
        </x15:connection>
      </ext>
    </extLst>
  </connection>
  <connection id="4" xr16:uid="{1DF8DDAA-0DB8-409C-8D37-0EEA7E195179}" name="WorksheetConnection_Meteora Ecommerce.xlsx!TB_Produtos" type="102" refreshedVersion="8" minRefreshableVersion="5">
    <extLst>
      <ext xmlns:x15="http://schemas.microsoft.com/office/spreadsheetml/2010/11/main" uri="{DE250136-89BD-433C-8126-D09CA5730AF9}">
        <x15:connection id="TB_Produtos" autoDelete="1">
          <x15:rangePr sourceName="_xlcn.WorksheetConnection_MeteoraEcommerce.xlsxTB_Produtos1"/>
        </x15:connection>
      </ext>
    </extLst>
  </connection>
  <connection id="5" xr16:uid="{C7E13675-7B1F-44E3-8864-3EB9FC65D6F9}" name="WorksheetConnection_Meteora Ecommerce.xlsx!TB_Vendas" type="102" refreshedVersion="8" minRefreshableVersion="5">
    <extLst>
      <ext xmlns:x15="http://schemas.microsoft.com/office/spreadsheetml/2010/11/main" uri="{DE250136-89BD-433C-8126-D09CA5730AF9}">
        <x15:connection id="TB_Vendas" autoDelete="1">
          <x15:rangePr sourceName="_xlcn.WorksheetConnection_MeteoraEcommerce.xlsxTB_Vendas1"/>
        </x15:connection>
      </ext>
    </extLst>
  </connection>
  <connection id="6" xr16:uid="{E680CFC7-5590-43CD-9CC3-C3E9A06CDB40}" name="WorksheetConnection_Vendedores!$A$4:$D$9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VendedoresA4D9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<sst xmlns="http://schemas.openxmlformats.org/spreadsheetml/2006/main" count="1319" uniqueCount="182">
  <si>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</si>
  <si>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</si>
  <si>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</si>
  <si>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</si>
  <si>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</si>
  <si>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</si>
  <si>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</si>
  <si>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</si>
  <si>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</si>
  <si>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</si>
  <si>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</si>
  <si>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</si>
  <si>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</si>
  <si>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</si>
  <si>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</si>
  <si>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</si>
  <si>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</si>
  <si>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</si>
  <si>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</si>
  <si>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</si>
  <si>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</si>
  <si>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</si>
  <si>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</si>
  <si>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</si>
  <si>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</si>
  <si>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</si>
  <si>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</si>
  <si>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Atitas</t>
  </si>
  <si>
    <t>Bolsa de couro</t>
  </si>
  <si>
    <t>Bolsa coringa</t>
  </si>
  <si>
    <t>Código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</si>
  <si>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</si>
  <si>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</si>
  <si>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</si>
  <si>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</si>
  <si>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</si>
  <si>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</si>
  <si>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</si>
  <si>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</si>
  <si>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</si>
  <si>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</si>
  <si>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</si>
  <si>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</si>
  <si>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</si>
  <si>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</si>
  <si>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</si>
  <si>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</si>
  <si>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</si>
  <si>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</si>
  <si>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</si>
  <si>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</si>
  <si>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</si>
  <si>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</si>
  <si>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</si>
  <si>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</si>
  <si>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</si>
  <si>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</si>
  <si>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</si>
  <si>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</si>
  <si>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</si>
  <si>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</si>
  <si>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</si>
  <si>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</si>
  <si>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</si>
  <si>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</si>
  <si>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</si>
  <si>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</si>
  <si>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</si>
  <si>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</si>
  <si>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</si>
  <si>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Clara</t>
  </si>
  <si>
    <t>João</t>
  </si>
  <si>
    <t>Vendedor</t>
  </si>
  <si>
    <t>Sarah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</si>
  <si>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</si>
  <si>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</si>
  <si>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</si>
  <si>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</si>
  <si>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</si>
  <si>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</si>
  <si>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</si>
  <si>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</si>
  <si>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Vendedores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</si>
  <si>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</si>
  <si>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</si>
  <si>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</si>
  <si>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</si>
  <si>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</si>
  <si>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</si>
  <si>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</si>
  <si>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</si>
  <si>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Jaqueta de Couro</t>
  </si>
  <si>
    <t>PR047</t>
  </si>
  <si>
    <t>PR048</t>
  </si>
  <si>
    <t>PR049</t>
  </si>
  <si>
    <t>Camiseta Listrada</t>
  </si>
  <si>
    <t>PR050</t>
  </si>
  <si>
    <t>PR051</t>
  </si>
  <si>
    <t>PR052</t>
  </si>
  <si>
    <t>Saia Plissada</t>
  </si>
  <si>
    <t>PR053</t>
  </si>
  <si>
    <t>PR054</t>
  </si>
  <si>
    <t>PR055</t>
  </si>
  <si>
    <t>PR056</t>
  </si>
  <si>
    <t>Sandália Rasteira</t>
  </si>
  <si>
    <t>PR057</t>
  </si>
  <si>
    <t>PR058</t>
  </si>
  <si>
    <t>Camiseta Conforto</t>
  </si>
  <si>
    <t>Calça Alfaiataria</t>
  </si>
  <si>
    <t>PR059</t>
  </si>
  <si>
    <t>PR060</t>
  </si>
  <si>
    <t>Tênis Chunky</t>
  </si>
  <si>
    <t>Nº</t>
  </si>
  <si>
    <t>VD001</t>
  </si>
  <si>
    <t>VD002</t>
  </si>
  <si>
    <t>VD003</t>
  </si>
  <si>
    <t>VD004</t>
  </si>
  <si>
    <t>VD005</t>
  </si>
  <si>
    <t>Amanda</t>
  </si>
  <si>
    <t>Bruno</t>
  </si>
  <si>
    <t>Controle de Produtos</t>
  </si>
  <si>
    <t>Vendas</t>
  </si>
  <si>
    <t>Cadastros Gerais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</si>
  <si>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</si>
  <si>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</si>
  <si>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</si>
  <si>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</si>
  <si>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</si>
  <si>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</si>
  <si>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</si>
  <si>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</si>
  <si>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Consultas</t>
  </si>
  <si>
    <t>Cidade</t>
  </si>
  <si>
    <t>Desc. Máximo</t>
  </si>
  <si>
    <t>São Paulo</t>
  </si>
  <si>
    <t>Rio de Janeiro</t>
  </si>
  <si>
    <t>Natal</t>
  </si>
  <si>
    <t>Manaus</t>
  </si>
  <si>
    <t>Belo Horizonte</t>
  </si>
  <si>
    <t>Desconto por Categoria e Qtd</t>
  </si>
  <si>
    <t>Consulta Produto</t>
  </si>
  <si>
    <t xml:space="preserve">Código: </t>
  </si>
  <si>
    <t xml:space="preserve">Descrição: </t>
  </si>
  <si>
    <t xml:space="preserve">Tamanho: </t>
  </si>
  <si>
    <t xml:space="preserve">Categoria: </t>
  </si>
  <si>
    <t xml:space="preserve">Estoque: </t>
  </si>
  <si>
    <t xml:space="preserve">Data: </t>
  </si>
  <si>
    <t>Vendas do Dia</t>
  </si>
  <si>
    <t xml:space="preserve">Total Qtd: </t>
  </si>
  <si>
    <t xml:space="preserve">Dia da Semana: </t>
  </si>
  <si>
    <t xml:space="preserve">Total Valor: </t>
  </si>
  <si>
    <t xml:space="preserve">Preço Unitário: </t>
  </si>
  <si>
    <t xml:space="preserve">Situação: </t>
  </si>
  <si>
    <t>Estoque Mínimo</t>
  </si>
  <si>
    <t xml:space="preserve">Estoque Mínimo: </t>
  </si>
  <si>
    <t>Indice</t>
  </si>
  <si>
    <t>Desconto 
(Passo a Passo)</t>
  </si>
  <si>
    <t>Desconto 
(Diretão)</t>
  </si>
  <si>
    <t>Desconto 
(Vendedor)</t>
  </si>
  <si>
    <t>Desconto Final</t>
  </si>
  <si>
    <t>Rótulos de Linha</t>
  </si>
  <si>
    <t>Total Geral</t>
  </si>
  <si>
    <t>Soma de Estoque</t>
  </si>
  <si>
    <t>Soma de Preço Unitário</t>
  </si>
  <si>
    <t>Soma de Qtd</t>
  </si>
  <si>
    <t>Contagem de Produtos</t>
  </si>
  <si>
    <t>jan</t>
  </si>
  <si>
    <t>fev</t>
  </si>
  <si>
    <t>mar</t>
  </si>
  <si>
    <t>abr</t>
  </si>
  <si>
    <t>mai</t>
  </si>
  <si>
    <t>jun</t>
  </si>
  <si>
    <t>jul</t>
  </si>
  <si>
    <t>ago</t>
  </si>
  <si>
    <t>Soma de Total</t>
  </si>
  <si>
    <t>% Categoria</t>
  </si>
  <si>
    <t>% Restante</t>
  </si>
  <si>
    <t>set</t>
  </si>
  <si>
    <t>out</t>
  </si>
  <si>
    <t>nov</t>
  </si>
  <si>
    <t>dez</t>
  </si>
  <si>
    <t>Soma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</si>
</sst>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  <numFmt numFmtId="166" formatCode="0%;\-0%;0%"/>
  </numFmts>
  <fonts count="28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sz val="8"/>
      <name val="Calibri"/>
      <family val="2"/>
      <scheme val="minor"/>
    </font>
    <font>
      <sz val="12"/>
      <color theme="1"/>
      <name val="Montserrat"/>
    </font>
    <font>
      <b/>
      <sz val="12"/>
      <color theme="0"/>
      <name val="Montserrat"/>
    </font>
    <font>
      <b/>
      <sz val="14"/>
      <color theme="0" tint="-4.9989318521683403E-2"/>
      <name val="Montserrat"/>
    </font>
    <font>
      <b/>
      <sz val="11"/>
      <color theme="1"/>
      <name val="Montserrat"/>
    </font>
    <font>
      <b/>
      <sz val="12"/>
      <color theme="0" tint="-4.9989318521683403E-2"/>
      <name val="Montserrat"/>
    </font>
    <font>
      <b/>
      <sz val="16"/>
      <color theme="1"/>
      <name val="MuseoModerno"/>
    </font>
    <font>
      <b/>
      <sz val="12"/>
      <color theme="1"/>
      <name val="Montserrat"/>
    </font>
    <font>
      <b/>
      <sz val="12"/>
      <color theme="1"/>
      <name val="MuseoModerno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MuseoModerno"/>
    </font>
    <font>
      <b/>
      <sz val="14"/>
      <color theme="1"/>
      <name val="Montserrat"/>
    </font>
    <font>
      <b/>
      <sz val="18"/>
      <color rgb="FFDAFF0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theme="0" tint="-4.9989318521683403E-2"/>
      <name val="Montserrat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4" fillId="3" borderId="0" applyNumberFormat="0" applyBorder="0" applyAlignment="0" applyProtection="0">
      <alignment horizontal="center"/>
    </xf>
    <xf numFmtId="0" fontId="2" fillId="4" borderId="7" applyNumberFormat="0" applyBorder="0" applyAlignment="0" applyProtection="0">
      <alignment horizont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0" xfId="0" applyFont="1"/>
    <xf numFmtId="0" fontId="8" fillId="0" borderId="0" xfId="0" applyFont="1"/>
    <xf numFmtId="165" fontId="0" fillId="0" borderId="0" xfId="0" applyNumberFormat="1" applyAlignment="1">
      <alignment horizontal="center"/>
    </xf>
    <xf numFmtId="44" fontId="0" fillId="0" borderId="0" xfId="0" applyNumberFormat="1"/>
    <xf numFmtId="0" fontId="12" fillId="0" borderId="0" xfId="0" applyFont="1" applyAlignment="1">
      <alignment horizontal="center"/>
    </xf>
    <xf numFmtId="0" fontId="14" fillId="2" borderId="19" xfId="3" applyFont="1" applyFill="1" applyBorder="1" applyAlignment="1">
      <alignment horizontal="center"/>
    </xf>
    <xf numFmtId="1" fontId="18" fillId="7" borderId="7" xfId="0" applyNumberFormat="1" applyFont="1" applyFill="1" applyBorder="1" applyAlignment="1">
      <alignment horizontal="center"/>
    </xf>
    <xf numFmtId="1" fontId="18" fillId="7" borderId="20" xfId="0" applyNumberFormat="1" applyFont="1" applyFill="1" applyBorder="1" applyAlignment="1">
      <alignment horizontal="center"/>
    </xf>
    <xf numFmtId="0" fontId="0" fillId="3" borderId="0" xfId="0" applyFill="1"/>
    <xf numFmtId="0" fontId="0" fillId="7" borderId="0" xfId="0" applyFill="1"/>
    <xf numFmtId="0" fontId="1" fillId="0" borderId="0" xfId="0" applyFont="1" applyAlignment="1">
      <alignment horizontal="center"/>
    </xf>
    <xf numFmtId="0" fontId="17" fillId="3" borderId="0" xfId="0" applyFont="1" applyFill="1"/>
    <xf numFmtId="0" fontId="1" fillId="7" borderId="0" xfId="0" applyFont="1" applyFill="1" applyAlignment="1">
      <alignment horizontal="center"/>
    </xf>
    <xf numFmtId="0" fontId="19" fillId="3" borderId="0" xfId="0" applyFont="1" applyFill="1" applyAlignment="1">
      <alignment vertical="center"/>
    </xf>
    <xf numFmtId="0" fontId="21" fillId="0" borderId="0" xfId="6" applyFont="1" applyFill="1" applyAlignment="1">
      <alignment horizontal="center"/>
    </xf>
    <xf numFmtId="0" fontId="22" fillId="3" borderId="0" xfId="0" applyFont="1" applyFill="1" applyAlignment="1">
      <alignment vertical="center"/>
    </xf>
    <xf numFmtId="0" fontId="23" fillId="7" borderId="23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3" fillId="7" borderId="27" xfId="0" applyFont="1" applyFill="1" applyBorder="1" applyAlignment="1">
      <alignment horizontal="center"/>
    </xf>
    <xf numFmtId="0" fontId="23" fillId="7" borderId="24" xfId="0" applyFont="1" applyFill="1" applyBorder="1" applyAlignment="1">
      <alignment horizontal="center" vertical="center"/>
    </xf>
    <xf numFmtId="0" fontId="14" fillId="2" borderId="16" xfId="3" applyFont="1" applyFill="1" applyBorder="1" applyAlignment="1">
      <alignment horizontal="center"/>
    </xf>
    <xf numFmtId="0" fontId="14" fillId="2" borderId="17" xfId="3" applyFont="1" applyFill="1" applyBorder="1" applyAlignment="1">
      <alignment horizontal="center"/>
    </xf>
    <xf numFmtId="0" fontId="14" fillId="2" borderId="21" xfId="3" applyFont="1" applyFill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15" fillId="0" borderId="1" xfId="0" applyNumberFormat="1" applyFont="1" applyBorder="1" applyAlignment="1">
      <alignment horizontal="center"/>
    </xf>
    <xf numFmtId="0" fontId="14" fillId="2" borderId="18" xfId="3" applyFont="1" applyFill="1" applyBorder="1" applyAlignment="1">
      <alignment horizontal="center"/>
    </xf>
    <xf numFmtId="9" fontId="15" fillId="0" borderId="7" xfId="5" applyFont="1" applyBorder="1" applyAlignment="1">
      <alignment horizontal="center" vertical="center"/>
    </xf>
    <xf numFmtId="0" fontId="14" fillId="2" borderId="28" xfId="3" applyFont="1" applyFill="1" applyBorder="1" applyAlignment="1">
      <alignment horizontal="center" vertical="center" wrapText="1"/>
    </xf>
    <xf numFmtId="0" fontId="14" fillId="2" borderId="28" xfId="3" applyFont="1" applyFill="1" applyBorder="1" applyAlignment="1">
      <alignment horizontal="center" vertical="center"/>
    </xf>
    <xf numFmtId="9" fontId="15" fillId="0" borderId="28" xfId="5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1" fontId="18" fillId="7" borderId="2" xfId="0" applyNumberFormat="1" applyFont="1" applyFill="1" applyBorder="1" applyAlignment="1">
      <alignment horizontal="center"/>
    </xf>
    <xf numFmtId="1" fontId="18" fillId="7" borderId="4" xfId="0" applyNumberFormat="1" applyFont="1" applyFill="1" applyBorder="1" applyAlignment="1">
      <alignment horizontal="center"/>
    </xf>
    <xf numFmtId="1" fontId="15" fillId="0" borderId="5" xfId="0" applyNumberFormat="1" applyFont="1" applyBorder="1" applyAlignment="1">
      <alignment horizontal="center"/>
    </xf>
    <xf numFmtId="9" fontId="15" fillId="0" borderId="3" xfId="5" applyFont="1" applyBorder="1" applyAlignment="1">
      <alignment horizontal="center"/>
    </xf>
    <xf numFmtId="9" fontId="15" fillId="0" borderId="6" xfId="5" applyFont="1" applyBorder="1" applyAlignment="1">
      <alignment horizontal="center"/>
    </xf>
    <xf numFmtId="9" fontId="0" fillId="0" borderId="0" xfId="5" applyFont="1"/>
    <xf numFmtId="9" fontId="0" fillId="0" borderId="0" xfId="5" applyFont="1" applyAlignment="1">
      <alignment horizontal="center"/>
    </xf>
    <xf numFmtId="0" fontId="23" fillId="7" borderId="22" xfId="0" applyFont="1" applyFill="1" applyBorder="1" applyAlignment="1">
      <alignment horizontal="center"/>
    </xf>
    <xf numFmtId="0" fontId="16" fillId="2" borderId="25" xfId="3" applyFont="1" applyFill="1" applyBorder="1" applyAlignment="1">
      <alignment horizontal="right"/>
    </xf>
    <xf numFmtId="0" fontId="16" fillId="2" borderId="11" xfId="3" applyFont="1" applyFill="1" applyBorder="1" applyAlignment="1">
      <alignment horizontal="right"/>
    </xf>
    <xf numFmtId="0" fontId="16" fillId="2" borderId="26" xfId="3" applyFont="1" applyFill="1" applyBorder="1" applyAlignment="1">
      <alignment horizontal="right"/>
    </xf>
    <xf numFmtId="0" fontId="16" fillId="2" borderId="29" xfId="3" applyFont="1" applyFill="1" applyBorder="1" applyAlignment="1">
      <alignment horizontal="right"/>
    </xf>
    <xf numFmtId="14" fontId="23" fillId="7" borderId="22" xfId="0" applyNumberFormat="1" applyFont="1" applyFill="1" applyBorder="1" applyAlignment="1">
      <alignment horizontal="center"/>
    </xf>
    <xf numFmtId="165" fontId="23" fillId="7" borderId="23" xfId="0" applyNumberFormat="1" applyFont="1" applyFill="1" applyBorder="1" applyAlignment="1">
      <alignment horizontal="center" vertical="center"/>
    </xf>
    <xf numFmtId="0" fontId="1" fillId="0" borderId="0" xfId="0" applyFont="1"/>
    <xf numFmtId="0" fontId="25" fillId="0" borderId="0" xfId="0" applyFont="1"/>
    <xf numFmtId="0" fontId="14" fillId="2" borderId="8" xfId="3" applyFont="1" applyFill="1" applyBorder="1" applyAlignment="1">
      <alignment horizontal="center" vertical="center" wrapText="1"/>
    </xf>
    <xf numFmtId="0" fontId="14" fillId="2" borderId="30" xfId="3" applyFont="1" applyFill="1" applyBorder="1" applyAlignment="1">
      <alignment horizontal="center" vertical="center" wrapText="1"/>
    </xf>
    <xf numFmtId="0" fontId="15" fillId="0" borderId="28" xfId="5" applyNumberFormat="1" applyFont="1" applyBorder="1" applyAlignment="1">
      <alignment horizontal="center" vertical="center"/>
    </xf>
    <xf numFmtId="165" fontId="23" fillId="7" borderId="24" xfId="0" applyNumberFormat="1" applyFont="1" applyFill="1" applyBorder="1" applyAlignment="1">
      <alignment horizontal="center" vertical="center"/>
    </xf>
    <xf numFmtId="0" fontId="2" fillId="2" borderId="0" xfId="3" applyFill="1" applyBorder="1" applyAlignment="1">
      <alignment horizontal="center" vertical="center" wrapText="1"/>
    </xf>
    <xf numFmtId="0" fontId="16" fillId="2" borderId="0" xfId="3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6" fillId="2" borderId="0" xfId="3" applyFont="1" applyFill="1" applyBorder="1" applyAlignment="1">
      <alignment horizontal="center" vertical="center" wrapText="1"/>
    </xf>
    <xf numFmtId="9" fontId="25" fillId="0" borderId="0" xfId="5" applyFont="1" applyFill="1"/>
    <xf numFmtId="0" fontId="0" fillId="0" borderId="0" xfId="0" pivotButton="1"/>
    <xf numFmtId="0" fontId="0" fillId="0" borderId="0" xfId="0" applyAlignment="1">
      <alignment horizontal="left"/>
    </xf>
    <xf numFmtId="0" fontId="27" fillId="0" borderId="0" xfId="0" applyFont="1" applyAlignment="1">
      <alignment horizontal="left"/>
    </xf>
    <xf numFmtId="165" fontId="27" fillId="0" borderId="0" xfId="0" applyNumberFormat="1" applyFont="1"/>
    <xf numFmtId="0" fontId="27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5" fontId="10" fillId="0" borderId="0" xfId="4" applyNumberFormat="1" applyFont="1" applyFill="1" applyBorder="1" applyAlignment="1"/>
    <xf numFmtId="0" fontId="7" fillId="0" borderId="0" xfId="0" applyFont="1" applyAlignment="1">
      <alignment vertical="center"/>
    </xf>
    <xf numFmtId="0" fontId="9" fillId="0" borderId="0" xfId="0" applyFont="1"/>
    <xf numFmtId="14" fontId="0" fillId="0" borderId="0" xfId="0" applyNumberFormat="1"/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22" fillId="3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5" fontId="10" fillId="0" borderId="8" xfId="4" applyNumberFormat="1" applyFont="1" applyBorder="1" applyAlignment="1">
      <alignment horizontal="center"/>
    </xf>
    <xf numFmtId="165" fontId="10" fillId="0" borderId="9" xfId="4" applyNumberFormat="1" applyFont="1" applyBorder="1" applyAlignment="1">
      <alignment horizontal="center"/>
    </xf>
    <xf numFmtId="165" fontId="10" fillId="0" borderId="10" xfId="4" applyNumberFormat="1" applyFont="1" applyBorder="1" applyAlignment="1">
      <alignment horizontal="center"/>
    </xf>
    <xf numFmtId="165" fontId="10" fillId="0" borderId="11" xfId="4" applyNumberFormat="1" applyFont="1" applyBorder="1" applyAlignment="1">
      <alignment horizontal="center"/>
    </xf>
    <xf numFmtId="165" fontId="10" fillId="0" borderId="0" xfId="4" applyNumberFormat="1" applyFont="1" applyBorder="1" applyAlignment="1">
      <alignment horizontal="center"/>
    </xf>
    <xf numFmtId="165" fontId="10" fillId="0" borderId="12" xfId="4" applyNumberFormat="1" applyFont="1" applyBorder="1" applyAlignment="1">
      <alignment horizontal="center"/>
    </xf>
    <xf numFmtId="165" fontId="10" fillId="0" borderId="13" xfId="4" applyNumberFormat="1" applyFont="1" applyBorder="1" applyAlignment="1">
      <alignment horizontal="center"/>
    </xf>
    <xf numFmtId="165" fontId="10" fillId="0" borderId="14" xfId="4" applyNumberFormat="1" applyFont="1" applyBorder="1" applyAlignment="1">
      <alignment horizontal="center"/>
    </xf>
    <xf numFmtId="165" fontId="10" fillId="0" borderId="15" xfId="4" applyNumberFormat="1" applyFont="1" applyBorder="1" applyAlignment="1">
      <alignment horizontal="center"/>
    </xf>
    <xf numFmtId="0" fontId="0" fillId="0" borderId="0" xfId="0" applyNumberFormat="1"/>
    <xf numFmtId="9" fontId="0" fillId="0" borderId="0" xfId="0" applyNumberFormat="1"/>
  </cellXfs>
  <cellStyles count="7">
    <cellStyle name="Cabeçalho Meteora" xfId="3" xr:uid="{43DBFFA1-791E-423B-B2A6-377CC2810274}"/>
    <cellStyle name="Ênfase4" xfId="1" builtinId="41" customBuiltin="1"/>
    <cellStyle name="Hiperlink" xfId="6" builtinId="8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31"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numFmt numFmtId="165" formatCode="_-[$R$-416]\ * #,##0.00_-;\-[$R$-416]\ * #,##0.00_-;_-[$R$-416]\ * &quot;-&quot;??_-;_-@_-"/>
    </dxf>
    <dxf>
      <font>
        <sz val="12"/>
      </font>
    </dxf>
    <dxf>
      <font>
        <sz val="12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center" textRotation="0" wrapText="1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  <color rgb="FF9353FF"/>
      <color rgb="FFCCCCCC"/>
      <color rgb="FF4472C4"/>
      <color rgb="FFEE6471"/>
      <color rgb="FFF87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styles" Target="styles.xml"/><Relationship Id="rId39" Type="http://schemas.openxmlformats.org/officeDocument/2006/relationships/customXml" Target="../customXml/item9.xml"/><Relationship Id="rId21" Type="http://schemas.microsoft.com/office/2007/relationships/slicerCache" Target="slicerCaches/slicerCache1.xml"/><Relationship Id="rId34" Type="http://schemas.openxmlformats.org/officeDocument/2006/relationships/customXml" Target="../customXml/item4.xml"/><Relationship Id="rId42" Type="http://schemas.openxmlformats.org/officeDocument/2006/relationships/customXml" Target="../customXml/item12.xml"/><Relationship Id="rId47" Type="http://schemas.openxmlformats.org/officeDocument/2006/relationships/customXml" Target="../customXml/item17.xml"/><Relationship Id="rId50" Type="http://schemas.openxmlformats.org/officeDocument/2006/relationships/customXml" Target="../customXml/item20.xml"/><Relationship Id="rId55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9" Type="http://schemas.openxmlformats.org/officeDocument/2006/relationships/powerPivotData" Target="model/item.data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ustomXml" Target="../customXml/item2.xml"/><Relationship Id="rId37" Type="http://schemas.openxmlformats.org/officeDocument/2006/relationships/customXml" Target="../customXml/item7.xml"/><Relationship Id="rId40" Type="http://schemas.openxmlformats.org/officeDocument/2006/relationships/customXml" Target="../customXml/item10.xml"/><Relationship Id="rId45" Type="http://schemas.openxmlformats.org/officeDocument/2006/relationships/customXml" Target="../customXml/item15.xml"/><Relationship Id="rId53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31" Type="http://schemas.openxmlformats.org/officeDocument/2006/relationships/customXml" Target="../customXml/item1.xml"/><Relationship Id="rId44" Type="http://schemas.openxmlformats.org/officeDocument/2006/relationships/customXml" Target="../customXml/item14.xml"/><Relationship Id="rId52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8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Relationship Id="rId35" Type="http://schemas.openxmlformats.org/officeDocument/2006/relationships/customXml" Target="../customXml/item5.xml"/><Relationship Id="rId43" Type="http://schemas.openxmlformats.org/officeDocument/2006/relationships/customXml" Target="../customXml/item13.xml"/><Relationship Id="rId48" Type="http://schemas.openxmlformats.org/officeDocument/2006/relationships/customXml" Target="../customXml/item18.xml"/><Relationship Id="rId56" Type="http://schemas.openxmlformats.org/officeDocument/2006/relationships/customXml" Target="../customXml/item26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onnections" Target="connections.xml"/><Relationship Id="rId33" Type="http://schemas.openxmlformats.org/officeDocument/2006/relationships/customXml" Target="../customXml/item3.xml"/><Relationship Id="rId38" Type="http://schemas.openxmlformats.org/officeDocument/2006/relationships/customXml" Target="../customXml/item8.xml"/><Relationship Id="rId46" Type="http://schemas.openxmlformats.org/officeDocument/2006/relationships/customXml" Target="../customXml/item16.xml"/><Relationship Id="rId20" Type="http://schemas.openxmlformats.org/officeDocument/2006/relationships/pivotCacheDefinition" Target="pivotCache/pivotCacheDefinition7.xml"/><Relationship Id="rId41" Type="http://schemas.openxmlformats.org/officeDocument/2006/relationships/customXml" Target="../customXml/item11.xml"/><Relationship Id="rId54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23" Type="http://schemas.microsoft.com/office/2011/relationships/timelineCache" Target="timelineCaches/timelineCache1.xml"/><Relationship Id="rId28" Type="http://schemas.openxmlformats.org/officeDocument/2006/relationships/sheetMetadata" Target="metadata.xml"/><Relationship Id="rId36" Type="http://schemas.openxmlformats.org/officeDocument/2006/relationships/customXml" Target="../customXml/item6.xml"/><Relationship Id="rId49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FINAL AULA 4.xlsx]DN_Vendas!TBDN_Vendas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DN_Vendas!$B$3</c:f>
              <c:strCache>
                <c:ptCount val="1"/>
                <c:pt idx="0">
                  <c:v>Soma de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DN_Vendas!$A$4:$A$12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DN_Vendas!$B$4:$B$12</c:f>
              <c:numCache>
                <c:formatCode>_-[$R$-416]\ * #,##0.00_-;\-[$R$-416]\ * #,##0.00_-;_-[$R$-416]\ * "-"??_-;_-@_-</c:formatCode>
                <c:ptCount val="8"/>
                <c:pt idx="0">
                  <c:v>1750.9</c:v>
                </c:pt>
                <c:pt idx="1">
                  <c:v>2974.9</c:v>
                </c:pt>
                <c:pt idx="2">
                  <c:v>3698.1</c:v>
                </c:pt>
                <c:pt idx="3">
                  <c:v>3651.0999999999995</c:v>
                </c:pt>
                <c:pt idx="4">
                  <c:v>2776.2999999999997</c:v>
                </c:pt>
                <c:pt idx="5">
                  <c:v>3477.7000000000007</c:v>
                </c:pt>
                <c:pt idx="6">
                  <c:v>8602.0999999999985</c:v>
                </c:pt>
                <c:pt idx="7">
                  <c:v>6373.7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E-4619-9CBF-37B66C966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4378288"/>
        <c:axId val="1573918080"/>
      </c:barChart>
      <c:lineChart>
        <c:grouping val="standard"/>
        <c:varyColors val="0"/>
        <c:ser>
          <c:idx val="1"/>
          <c:order val="1"/>
          <c:tx>
            <c:strRef>
              <c:f>DN_Vendas!$C$3</c:f>
              <c:strCache>
                <c:ptCount val="1"/>
                <c:pt idx="0">
                  <c:v>Soma de Qtd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DN_Vendas!$A$4:$A$12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DN_Vendas!$C$4:$C$12</c:f>
              <c:numCache>
                <c:formatCode>General</c:formatCode>
                <c:ptCount val="8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41</c:v>
                </c:pt>
                <c:pt idx="6">
                  <c:v>53</c:v>
                </c:pt>
                <c:pt idx="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E-4619-9CBF-37B66C966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4233952"/>
        <c:axId val="1573888320"/>
      </c:lineChart>
      <c:catAx>
        <c:axId val="61437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3918080"/>
        <c:crosses val="autoZero"/>
        <c:auto val="1"/>
        <c:lblAlgn val="ctr"/>
        <c:lblOffset val="100"/>
        <c:noMultiLvlLbl val="0"/>
      </c:catAx>
      <c:valAx>
        <c:axId val="157391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4378288"/>
        <c:crosses val="autoZero"/>
        <c:crossBetween val="between"/>
      </c:valAx>
      <c:valAx>
        <c:axId val="15738883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4233952"/>
        <c:crosses val="max"/>
        <c:crossBetween val="between"/>
      </c:valAx>
      <c:catAx>
        <c:axId val="1084233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3888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FINAL AULA 4.xlsx]DN_Vendedores!TBDN_Vendedores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DN_Vendedores!$B$3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DN_Vendedores!$A$4:$A$9</c:f>
              <c:strCache>
                <c:ptCount val="5"/>
                <c:pt idx="0">
                  <c:v>Clara</c:v>
                </c:pt>
                <c:pt idx="1">
                  <c:v>Bruno</c:v>
                </c:pt>
                <c:pt idx="2">
                  <c:v>Amanda</c:v>
                </c:pt>
                <c:pt idx="3">
                  <c:v>Sarah</c:v>
                </c:pt>
                <c:pt idx="4">
                  <c:v>João</c:v>
                </c:pt>
              </c:strCache>
            </c:strRef>
          </c:cat>
          <c:val>
            <c:numRef>
              <c:f>DN_Vendedores!$B$4:$B$9</c:f>
              <c:numCache>
                <c:formatCode>_-[$R$-416]\ * #,##0.00_-;\-[$R$-416]\ * #,##0.00_-;_-[$R$-416]\ * "-"??_-;_-@_-</c:formatCode>
                <c:ptCount val="5"/>
                <c:pt idx="0">
                  <c:v>3259.7000000000003</c:v>
                </c:pt>
                <c:pt idx="1">
                  <c:v>6552.6</c:v>
                </c:pt>
                <c:pt idx="2">
                  <c:v>6811.2</c:v>
                </c:pt>
                <c:pt idx="3">
                  <c:v>8079.7</c:v>
                </c:pt>
                <c:pt idx="4">
                  <c:v>8601.5999999999985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A-423A-9F6F-8F501EE289E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85402064"/>
        <c:axId val="1335399952"/>
      </c:barChart>
      <c:catAx>
        <c:axId val="1085402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5399952"/>
        <c:crosses val="autoZero"/>
        <c:auto val="1"/>
        <c:lblAlgn val="ctr"/>
        <c:lblOffset val="100"/>
        <c:noMultiLvlLbl val="0"/>
      </c:catAx>
      <c:valAx>
        <c:axId val="133539995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08540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DN_Vendas!$I$4</c:f>
              <c:strCache>
                <c:ptCount val="1"/>
                <c:pt idx="0">
                  <c:v>Acessórios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10D-44B0-BC6E-765A654D03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10D-44B0-BC6E-765A654D0382}"/>
              </c:ext>
            </c:extLst>
          </c:dPt>
          <c:dLbls>
            <c:delete val="1"/>
          </c:dLbls>
          <c:val>
            <c:numRef>
              <c:f>DN_Vendas!$J$4:$K$4</c:f>
              <c:numCache>
                <c:formatCode>0%</c:formatCode>
                <c:ptCount val="2"/>
                <c:pt idx="0">
                  <c:v>0.15879092503182729</c:v>
                </c:pt>
                <c:pt idx="1">
                  <c:v>0.84120907496817265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0D-44B0-BC6E-765A654D038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DN_Vendas!$I$6</c:f>
              <c:strCache>
                <c:ptCount val="1"/>
                <c:pt idx="0">
                  <c:v>Vestuário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C6-4101-A388-17A9D681C4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C6-4101-A388-17A9D681C40E}"/>
              </c:ext>
            </c:extLst>
          </c:dPt>
          <c:dLbls>
            <c:delete val="1"/>
          </c:dLbls>
          <c:val>
            <c:numRef>
              <c:f>DN_Vendas!$J$6:$K$6</c:f>
              <c:numCache>
                <c:formatCode>0%</c:formatCode>
                <c:ptCount val="2"/>
                <c:pt idx="0">
                  <c:v>0.73285232158727887</c:v>
                </c:pt>
                <c:pt idx="1">
                  <c:v>0.26714767841272113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C6-4101-A388-17A9D681C40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DN_Vendas!$I$5</c:f>
              <c:strCache>
                <c:ptCount val="1"/>
                <c:pt idx="0">
                  <c:v>Calçado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4D8-447E-8DA3-33D914DD50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4D8-447E-8DA3-33D914DD500D}"/>
              </c:ext>
            </c:extLst>
          </c:dPt>
          <c:dLbls>
            <c:delete val="1"/>
          </c:dLbls>
          <c:val>
            <c:numRef>
              <c:f>DN_Vendas!$J$5:$K$5</c:f>
              <c:numCache>
                <c:formatCode>0%</c:formatCode>
                <c:ptCount val="2"/>
                <c:pt idx="0">
                  <c:v>0.10835675338089411</c:v>
                </c:pt>
                <c:pt idx="1">
                  <c:v>0.89164324661910588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D8-447E-8DA3-33D914DD500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FINAL AULA 4.xlsx]DN_Vendas_Hist!TBDN_HIS_VENDAS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DN_Vendas_Hist!$B$3</c:f>
              <c:strCache>
                <c:ptCount val="1"/>
                <c:pt idx="0">
                  <c:v>Soma de Qtd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DN_Vendas_Hist!$A$4:$A$16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DN_Vendas_Hist!$B$4:$B$16</c:f>
              <c:numCache>
                <c:formatCode>_("R$"* #,##0.00_);_("R$"* \(#,##0.00\);_("R$"* "-"??_);_(@_)</c:formatCode>
                <c:ptCount val="12"/>
                <c:pt idx="0">
                  <c:v>154</c:v>
                </c:pt>
                <c:pt idx="1">
                  <c:v>83</c:v>
                </c:pt>
                <c:pt idx="2">
                  <c:v>114</c:v>
                </c:pt>
                <c:pt idx="3">
                  <c:v>146</c:v>
                </c:pt>
                <c:pt idx="4">
                  <c:v>114</c:v>
                </c:pt>
                <c:pt idx="5">
                  <c:v>185</c:v>
                </c:pt>
                <c:pt idx="6">
                  <c:v>133</c:v>
                </c:pt>
                <c:pt idx="7">
                  <c:v>147</c:v>
                </c:pt>
                <c:pt idx="8">
                  <c:v>151</c:v>
                </c:pt>
                <c:pt idx="9">
                  <c:v>151</c:v>
                </c:pt>
                <c:pt idx="10">
                  <c:v>92</c:v>
                </c:pt>
                <c:pt idx="11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9-4149-8A3F-E04C3C2B6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899264"/>
        <c:axId val="611909824"/>
      </c:barChart>
      <c:lineChart>
        <c:grouping val="standard"/>
        <c:varyColors val="0"/>
        <c:ser>
          <c:idx val="1"/>
          <c:order val="1"/>
          <c:tx>
            <c:strRef>
              <c:f>DN_Vendas_Hist!$C$3</c:f>
              <c:strCache>
                <c:ptCount val="1"/>
                <c:pt idx="0">
                  <c:v>Soma de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DN_Vendas_Hist!$A$4:$A$16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DN_Vendas_Hist!$C$4:$C$16</c:f>
              <c:numCache>
                <c:formatCode>_("R$"* #,##0.00_);_("R$"* \(#,##0.00\);_("R$"* "-"??_);_(@_)</c:formatCode>
                <c:ptCount val="12"/>
                <c:pt idx="0">
                  <c:v>27065.5</c:v>
                </c:pt>
                <c:pt idx="1">
                  <c:v>7502.6</c:v>
                </c:pt>
                <c:pt idx="2">
                  <c:v>7197.4</c:v>
                </c:pt>
                <c:pt idx="3">
                  <c:v>17379.8</c:v>
                </c:pt>
                <c:pt idx="4">
                  <c:v>20685.5</c:v>
                </c:pt>
                <c:pt idx="5">
                  <c:v>22586.3</c:v>
                </c:pt>
                <c:pt idx="6">
                  <c:v>18730.099999999999</c:v>
                </c:pt>
                <c:pt idx="7">
                  <c:v>21585.8</c:v>
                </c:pt>
                <c:pt idx="8">
                  <c:v>19851</c:v>
                </c:pt>
                <c:pt idx="9">
                  <c:v>15659.4</c:v>
                </c:pt>
                <c:pt idx="10">
                  <c:v>9455.2000000000007</c:v>
                </c:pt>
                <c:pt idx="11">
                  <c:v>19742.5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F9-4149-8A3F-E04C3C2B6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903104"/>
        <c:axId val="611912224"/>
      </c:lineChart>
      <c:catAx>
        <c:axId val="61189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909824"/>
        <c:crosses val="autoZero"/>
        <c:auto val="1"/>
        <c:lblAlgn val="ctr"/>
        <c:lblOffset val="100"/>
        <c:noMultiLvlLbl val="0"/>
      </c:catAx>
      <c:valAx>
        <c:axId val="61190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899264"/>
        <c:crosses val="autoZero"/>
        <c:crossBetween val="between"/>
      </c:valAx>
      <c:valAx>
        <c:axId val="611912224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903104"/>
        <c:crosses val="max"/>
        <c:crossBetween val="between"/>
      </c:valAx>
      <c:catAx>
        <c:axId val="611903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19122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FINAL AULA 4.xlsx]DN_Vendas_Hist!TBDN_VENDEDOR_RANKING_HIST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DN_Vendas_Hist!$F$3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DN_Vendas_Hist!$E$4:$E$9</c:f>
              <c:strCache>
                <c:ptCount val="5"/>
                <c:pt idx="0">
                  <c:v>Amanda</c:v>
                </c:pt>
                <c:pt idx="1">
                  <c:v>Bruno</c:v>
                </c:pt>
                <c:pt idx="2">
                  <c:v>Clara</c:v>
                </c:pt>
                <c:pt idx="3">
                  <c:v>João</c:v>
                </c:pt>
                <c:pt idx="4">
                  <c:v>Sarah</c:v>
                </c:pt>
              </c:strCache>
            </c:strRef>
          </c:cat>
          <c:val>
            <c:numRef>
              <c:f>DN_Vendas_Hist!$F$4:$F$9</c:f>
              <c:numCache>
                <c:formatCode>_("R$"* #,##0.00_);_("R$"* \(#,##0.00\);_("R$"* "-"??_);_(@_)</c:formatCode>
                <c:ptCount val="5"/>
                <c:pt idx="0">
                  <c:v>37864</c:v>
                </c:pt>
                <c:pt idx="1">
                  <c:v>49213.9</c:v>
                </c:pt>
                <c:pt idx="2">
                  <c:v>36204.6</c:v>
                </c:pt>
                <c:pt idx="3">
                  <c:v>36468.6</c:v>
                </c:pt>
                <c:pt idx="4">
                  <c:v>47690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D-4AD0-B51D-06A728561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5956400"/>
        <c:axId val="1995956880"/>
      </c:barChart>
      <c:catAx>
        <c:axId val="1995956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5956880"/>
        <c:crosses val="autoZero"/>
        <c:auto val="1"/>
        <c:lblAlgn val="ctr"/>
        <c:lblOffset val="100"/>
        <c:noMultiLvlLbl val="0"/>
      </c:catAx>
      <c:valAx>
        <c:axId val="19959568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9595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DN_Vendas_Hist!$K$6</c:f>
              <c:strCache>
                <c:ptCount val="1"/>
                <c:pt idx="0">
                  <c:v>Vestuário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4C-4DB5-BDD6-A49900E0EE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4C-4DB5-BDD6-A49900E0EEBF}"/>
              </c:ext>
            </c:extLst>
          </c:dPt>
          <c:val>
            <c:numRef>
              <c:f>DN_Vendas_Hist!$L$6:$M$6</c:f>
              <c:numCache>
                <c:formatCode>0%</c:formatCode>
                <c:ptCount val="2"/>
                <c:pt idx="0">
                  <c:v>0.65129427100029846</c:v>
                </c:pt>
                <c:pt idx="1">
                  <c:v>0.34870572899970154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4C-4DB5-BDD6-A49900E0E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DN_Vendas_Hist!$K$5</c:f>
              <c:strCache>
                <c:ptCount val="1"/>
                <c:pt idx="0">
                  <c:v>Calçado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63-4904-B053-F49C564F64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63-4904-B053-F49C564F647E}"/>
              </c:ext>
            </c:extLst>
          </c:dPt>
          <c:val>
            <c:numRef>
              <c:f>DN_Vendas_Hist!$L$5:$M$5</c:f>
              <c:numCache>
                <c:formatCode>0%</c:formatCode>
                <c:ptCount val="2"/>
                <c:pt idx="0">
                  <c:v>0.19696868171254395</c:v>
                </c:pt>
                <c:pt idx="1">
                  <c:v>0.803031318287456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63-4904-B053-F49C564F6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DN_Vendas_Hist!$K$4</c:f>
              <c:strCache>
                <c:ptCount val="1"/>
                <c:pt idx="0">
                  <c:v>Acessórios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53-4A87-B8CC-7F753386C7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53-4A87-B8CC-7F753386C76C}"/>
              </c:ext>
            </c:extLst>
          </c:dPt>
          <c:val>
            <c:numRef>
              <c:f>DN_Vendas_Hist!$L$4:$M$4</c:f>
              <c:numCache>
                <c:formatCode>0%</c:formatCode>
                <c:ptCount val="2"/>
                <c:pt idx="0">
                  <c:v>0.15173704728715764</c:v>
                </c:pt>
                <c:pt idx="1">
                  <c:v>0.84826295271284236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53-4A87-B8CC-7F753386C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dutos!A1"/><Relationship Id="rId2" Type="http://schemas.openxmlformats.org/officeDocument/2006/relationships/hyperlink" Target="#Vendas!A1"/><Relationship Id="rId1" Type="http://schemas.openxmlformats.org/officeDocument/2006/relationships/image" Target="../media/image1.png"/><Relationship Id="rId5" Type="http://schemas.openxmlformats.org/officeDocument/2006/relationships/hyperlink" Target="#Consultas!A1"/><Relationship Id="rId4" Type="http://schemas.openxmlformats.org/officeDocument/2006/relationships/hyperlink" Target="#Vendedor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Vendedores!A1"/><Relationship Id="rId4" Type="http://schemas.openxmlformats.org/officeDocument/2006/relationships/hyperlink" Target="#Vend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Vend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3.png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121920</xdr:rowOff>
    </xdr:from>
    <xdr:to>
      <xdr:col>9</xdr:col>
      <xdr:colOff>579120</xdr:colOff>
      <xdr:row>5</xdr:row>
      <xdr:rowOff>152409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DE8B45-09AB-055B-1B63-2260FE5D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04800"/>
          <a:ext cx="4998720" cy="762009"/>
        </a:xfrm>
        <a:prstGeom prst="rect">
          <a:avLst/>
        </a:prstGeom>
      </xdr:spPr>
    </xdr:pic>
    <xdr:clientData/>
  </xdr:twoCellAnchor>
  <xdr:twoCellAnchor>
    <xdr:from>
      <xdr:col>6</xdr:col>
      <xdr:colOff>206375</xdr:colOff>
      <xdr:row>7</xdr:row>
      <xdr:rowOff>177165</xdr:rowOff>
    </xdr:from>
    <xdr:to>
      <xdr:col>8</xdr:col>
      <xdr:colOff>347345</xdr:colOff>
      <xdr:row>10</xdr:row>
      <xdr:rowOff>146685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D6B59-05D9-B03E-33FF-654DC865E65A}"/>
            </a:ext>
          </a:extLst>
        </xdr:cNvPr>
        <xdr:cNvSpPr/>
      </xdr:nvSpPr>
      <xdr:spPr>
        <a:xfrm>
          <a:off x="3749675" y="1510665"/>
          <a:ext cx="132207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1</xdr:col>
      <xdr:colOff>43815</xdr:colOff>
      <xdr:row>7</xdr:row>
      <xdr:rowOff>177165</xdr:rowOff>
    </xdr:from>
    <xdr:to>
      <xdr:col>3</xdr:col>
      <xdr:colOff>203835</xdr:colOff>
      <xdr:row>10</xdr:row>
      <xdr:rowOff>146685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8F6523-8DD6-8EA8-3868-7A382EBABA1C}"/>
            </a:ext>
          </a:extLst>
        </xdr:cNvPr>
        <xdr:cNvSpPr/>
      </xdr:nvSpPr>
      <xdr:spPr>
        <a:xfrm>
          <a:off x="634365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  <xdr:twoCellAnchor>
    <xdr:from>
      <xdr:col>3</xdr:col>
      <xdr:colOff>420370</xdr:colOff>
      <xdr:row>7</xdr:row>
      <xdr:rowOff>177165</xdr:rowOff>
    </xdr:from>
    <xdr:to>
      <xdr:col>5</xdr:col>
      <xdr:colOff>580390</xdr:colOff>
      <xdr:row>10</xdr:row>
      <xdr:rowOff>146685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5DBCBF-1552-7BEE-78FD-FBEFEF801194}"/>
            </a:ext>
          </a:extLst>
        </xdr:cNvPr>
        <xdr:cNvSpPr/>
      </xdr:nvSpPr>
      <xdr:spPr>
        <a:xfrm>
          <a:off x="219202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>
    <xdr:from>
      <xdr:col>8</xdr:col>
      <xdr:colOff>563880</xdr:colOff>
      <xdr:row>7</xdr:row>
      <xdr:rowOff>177165</xdr:rowOff>
    </xdr:from>
    <xdr:to>
      <xdr:col>11</xdr:col>
      <xdr:colOff>133350</xdr:colOff>
      <xdr:row>10</xdr:row>
      <xdr:rowOff>146685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DF467C-2EA0-98A2-30B7-FDC407A177D5}"/>
            </a:ext>
          </a:extLst>
        </xdr:cNvPr>
        <xdr:cNvSpPr/>
      </xdr:nvSpPr>
      <xdr:spPr>
        <a:xfrm>
          <a:off x="528828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Consultas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86361</xdr:colOff>
      <xdr:row>0</xdr:row>
      <xdr:rowOff>76201</xdr:rowOff>
    </xdr:from>
    <xdr:to>
      <xdr:col>0</xdr:col>
      <xdr:colOff>472440</xdr:colOff>
      <xdr:row>0</xdr:row>
      <xdr:rowOff>462280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BD4DE5D6-A5B5-406D-9CE1-F58B167B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1" y="76201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1304924</xdr:colOff>
      <xdr:row>0</xdr:row>
      <xdr:rowOff>100014</xdr:rowOff>
    </xdr:from>
    <xdr:to>
      <xdr:col>7</xdr:col>
      <xdr:colOff>464819</xdr:colOff>
      <xdr:row>0</xdr:row>
      <xdr:rowOff>414339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16521-3CF2-4B53-B0C2-257D770BDFBA}"/>
            </a:ext>
          </a:extLst>
        </xdr:cNvPr>
        <xdr:cNvSpPr/>
      </xdr:nvSpPr>
      <xdr:spPr>
        <a:xfrm>
          <a:off x="7553324" y="100014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5</xdr:col>
      <xdr:colOff>533400</xdr:colOff>
      <xdr:row>0</xdr:row>
      <xdr:rowOff>100014</xdr:rowOff>
    </xdr:from>
    <xdr:to>
      <xdr:col>6</xdr:col>
      <xdr:colOff>636270</xdr:colOff>
      <xdr:row>0</xdr:row>
      <xdr:rowOff>414339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14EE7B-96E6-4187-9F93-B47D5044F002}"/>
            </a:ext>
          </a:extLst>
        </xdr:cNvPr>
        <xdr:cNvSpPr/>
      </xdr:nvSpPr>
      <xdr:spPr>
        <a:xfrm>
          <a:off x="5905500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4</xdr:col>
      <xdr:colOff>604838</xdr:colOff>
      <xdr:row>0</xdr:row>
      <xdr:rowOff>100014</xdr:rowOff>
    </xdr:from>
    <xdr:to>
      <xdr:col>5</xdr:col>
      <xdr:colOff>441008</xdr:colOff>
      <xdr:row>0</xdr:row>
      <xdr:rowOff>414339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AC1AAC-274C-4CCA-A247-AA03B11D181B}"/>
            </a:ext>
          </a:extLst>
        </xdr:cNvPr>
        <xdr:cNvSpPr/>
      </xdr:nvSpPr>
      <xdr:spPr>
        <a:xfrm>
          <a:off x="4833938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100014</xdr:rowOff>
    </xdr:from>
    <xdr:to>
      <xdr:col>4</xdr:col>
      <xdr:colOff>512445</xdr:colOff>
      <xdr:row>0</xdr:row>
      <xdr:rowOff>414339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2098C0-66DE-4C93-8742-A1DDC837229B}"/>
            </a:ext>
          </a:extLst>
        </xdr:cNvPr>
        <xdr:cNvSpPr/>
      </xdr:nvSpPr>
      <xdr:spPr>
        <a:xfrm>
          <a:off x="3762375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76200</xdr:rowOff>
    </xdr:from>
    <xdr:to>
      <xdr:col>0</xdr:col>
      <xdr:colOff>668019</xdr:colOff>
      <xdr:row>0</xdr:row>
      <xdr:rowOff>462279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363A8-ECD7-4ED2-8B5E-4B8412B6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466724</xdr:colOff>
      <xdr:row>0</xdr:row>
      <xdr:rowOff>85725</xdr:rowOff>
    </xdr:from>
    <xdr:to>
      <xdr:col>7</xdr:col>
      <xdr:colOff>541019</xdr:colOff>
      <xdr:row>0</xdr:row>
      <xdr:rowOff>400050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0C8CE-E1DD-46B0-9EC1-0DB234C25F94}"/>
            </a:ext>
          </a:extLst>
        </xdr:cNvPr>
        <xdr:cNvSpPr/>
      </xdr:nvSpPr>
      <xdr:spPr>
        <a:xfrm>
          <a:off x="769619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4</xdr:col>
      <xdr:colOff>38100</xdr:colOff>
      <xdr:row>0</xdr:row>
      <xdr:rowOff>85725</xdr:rowOff>
    </xdr:from>
    <xdr:to>
      <xdr:col>5</xdr:col>
      <xdr:colOff>407670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492B7-9A40-45DF-8DD9-FF4B8AC4B805}"/>
            </a:ext>
          </a:extLst>
        </xdr:cNvPr>
        <xdr:cNvSpPr/>
      </xdr:nvSpPr>
      <xdr:spPr>
        <a:xfrm>
          <a:off x="604837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3</xdr:col>
      <xdr:colOff>442913</xdr:colOff>
      <xdr:row>0</xdr:row>
      <xdr:rowOff>85725</xdr:rowOff>
    </xdr:from>
    <xdr:to>
      <xdr:col>3</xdr:col>
      <xdr:colOff>1422083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189A0F-6039-4D6D-9A86-B4FB82EB1AE6}"/>
            </a:ext>
          </a:extLst>
        </xdr:cNvPr>
        <xdr:cNvSpPr/>
      </xdr:nvSpPr>
      <xdr:spPr>
        <a:xfrm>
          <a:off x="497681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1085850</xdr:colOff>
      <xdr:row>0</xdr:row>
      <xdr:rowOff>85725</xdr:rowOff>
    </xdr:from>
    <xdr:to>
      <xdr:col>3</xdr:col>
      <xdr:colOff>350520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10B14D-B133-4912-957D-08B56E453DEC}"/>
            </a:ext>
          </a:extLst>
        </xdr:cNvPr>
        <xdr:cNvSpPr/>
      </xdr:nvSpPr>
      <xdr:spPr>
        <a:xfrm>
          <a:off x="390525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449580</xdr:colOff>
      <xdr:row>0</xdr:row>
      <xdr:rowOff>66675</xdr:rowOff>
    </xdr:from>
    <xdr:to>
      <xdr:col>3</xdr:col>
      <xdr:colOff>64134</xdr:colOff>
      <xdr:row>0</xdr:row>
      <xdr:rowOff>452754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12354E-AD1A-4804-A470-15E2243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105" y="66675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9</xdr:col>
      <xdr:colOff>123824</xdr:colOff>
      <xdr:row>0</xdr:row>
      <xdr:rowOff>85725</xdr:rowOff>
    </xdr:from>
    <xdr:to>
      <xdr:col>9</xdr:col>
      <xdr:colOff>812482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701B76-473A-4A55-AF0E-ECBD9BBE384C}"/>
            </a:ext>
          </a:extLst>
        </xdr:cNvPr>
        <xdr:cNvSpPr/>
      </xdr:nvSpPr>
      <xdr:spPr>
        <a:xfrm>
          <a:off x="77152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7</xdr:col>
      <xdr:colOff>609600</xdr:colOff>
      <xdr:row>0</xdr:row>
      <xdr:rowOff>85725</xdr:rowOff>
    </xdr:from>
    <xdr:to>
      <xdr:col>8</xdr:col>
      <xdr:colOff>521970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5575B6-61D4-49F3-9180-2CA2D567325C}"/>
            </a:ext>
          </a:extLst>
        </xdr:cNvPr>
        <xdr:cNvSpPr/>
      </xdr:nvSpPr>
      <xdr:spPr>
        <a:xfrm>
          <a:off x="60674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6</xdr:col>
      <xdr:colOff>412751</xdr:colOff>
      <xdr:row>0</xdr:row>
      <xdr:rowOff>85725</xdr:rowOff>
    </xdr:from>
    <xdr:to>
      <xdr:col>7</xdr:col>
      <xdr:colOff>517208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03579C-CAF6-4B7E-BEF7-4259D9774AFB}"/>
            </a:ext>
          </a:extLst>
        </xdr:cNvPr>
        <xdr:cNvSpPr/>
      </xdr:nvSpPr>
      <xdr:spPr>
        <a:xfrm>
          <a:off x="49958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5</xdr:col>
      <xdr:colOff>587375</xdr:colOff>
      <xdr:row>0</xdr:row>
      <xdr:rowOff>85725</xdr:rowOff>
    </xdr:from>
    <xdr:to>
      <xdr:col>6</xdr:col>
      <xdr:colOff>320358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EDB1BC-9302-487C-8922-6F0622D6EF3B}"/>
            </a:ext>
          </a:extLst>
        </xdr:cNvPr>
        <xdr:cNvSpPr/>
      </xdr:nvSpPr>
      <xdr:spPr>
        <a:xfrm>
          <a:off x="39243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0</xdr:col>
      <xdr:colOff>492759</xdr:colOff>
      <xdr:row>0</xdr:row>
      <xdr:rowOff>454659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456271F-9F53-4B55-9E8A-E9E2FC35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6858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4</xdr:col>
      <xdr:colOff>1013459</xdr:colOff>
      <xdr:row>0</xdr:row>
      <xdr:rowOff>91440</xdr:rowOff>
    </xdr:from>
    <xdr:to>
      <xdr:col>5</xdr:col>
      <xdr:colOff>245744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DEB8D7-0FEB-4507-A50B-05B81C09950A}"/>
            </a:ext>
          </a:extLst>
        </xdr:cNvPr>
        <xdr:cNvSpPr/>
      </xdr:nvSpPr>
      <xdr:spPr>
        <a:xfrm>
          <a:off x="61150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3</xdr:col>
      <xdr:colOff>152400</xdr:colOff>
      <xdr:row>0</xdr:row>
      <xdr:rowOff>91440</xdr:rowOff>
    </xdr:from>
    <xdr:to>
      <xdr:col>4</xdr:col>
      <xdr:colOff>354330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16AD2F-D430-4E96-8D94-F654A42B72BD}"/>
            </a:ext>
          </a:extLst>
        </xdr:cNvPr>
        <xdr:cNvSpPr/>
      </xdr:nvSpPr>
      <xdr:spPr>
        <a:xfrm>
          <a:off x="44672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1355408</xdr:colOff>
      <xdr:row>0</xdr:row>
      <xdr:rowOff>91440</xdr:rowOff>
    </xdr:from>
    <xdr:to>
      <xdr:col>3</xdr:col>
      <xdr:colOff>60008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5C5270-F703-4959-8D9F-71136CD13561}"/>
            </a:ext>
          </a:extLst>
        </xdr:cNvPr>
        <xdr:cNvSpPr/>
      </xdr:nvSpPr>
      <xdr:spPr>
        <a:xfrm>
          <a:off x="33956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2</xdr:col>
      <xdr:colOff>281940</xdr:colOff>
      <xdr:row>0</xdr:row>
      <xdr:rowOff>91440</xdr:rowOff>
    </xdr:from>
    <xdr:to>
      <xdr:col>2</xdr:col>
      <xdr:colOff>1255395</xdr:colOff>
      <xdr:row>0</xdr:row>
      <xdr:rowOff>400050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F05AB9-4EF5-485F-A10E-4B5B41E0590A}"/>
            </a:ext>
          </a:extLst>
        </xdr:cNvPr>
        <xdr:cNvSpPr/>
      </xdr:nvSpPr>
      <xdr:spPr>
        <a:xfrm>
          <a:off x="23241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104774</xdr:rowOff>
    </xdr:from>
    <xdr:to>
      <xdr:col>2</xdr:col>
      <xdr:colOff>752475</xdr:colOff>
      <xdr:row>1</xdr:row>
      <xdr:rowOff>866774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ia 1">
              <a:extLst>
                <a:ext uri="{FF2B5EF4-FFF2-40B4-BE49-F238E27FC236}">
                  <a16:creationId xmlns:a16="http://schemas.microsoft.com/office/drawing/2014/main" id="{8B3096F1-0C3D-DBCC-2744-8B036B5C97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4" y="104774"/>
              <a:ext cx="3724276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0</xdr:col>
      <xdr:colOff>477519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A7978-4266-437F-879D-423B85D1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6200"/>
          <a:ext cx="386079" cy="3860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9525</xdr:colOff>
      <xdr:row>5</xdr:row>
      <xdr:rowOff>49990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577B8C-A23D-DB82-E232-44F29160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2</xdr:col>
      <xdr:colOff>19050</xdr:colOff>
      <xdr:row>10</xdr:row>
      <xdr:rowOff>0</xdr:rowOff>
    </xdr:from>
    <xdr:to>
      <xdr:col>79</xdr:col>
      <xdr:colOff>104775</xdr:colOff>
      <xdr:row>23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1C6A12-5F59-E575-3EE8-D2DBB7A6C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23812</xdr:colOff>
      <xdr:row>27</xdr:row>
      <xdr:rowOff>9525</xdr:rowOff>
    </xdr:from>
    <xdr:to>
      <xdr:col>79</xdr:col>
      <xdr:colOff>114300</xdr:colOff>
      <xdr:row>45</xdr:row>
      <xdr:rowOff>104775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2135EDE1-0FB3-2E2B-3908-26C8962A5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9525</xdr:colOff>
      <xdr:row>27</xdr:row>
      <xdr:rowOff>28575</xdr:rowOff>
    </xdr:from>
    <xdr:to>
      <xdr:col>15</xdr:col>
      <xdr:colOff>3975</xdr:colOff>
      <xdr:row>45</xdr:row>
      <xdr:rowOff>74925</xdr:rowOff>
    </xdr:to>
    <xdr:graphicFrame macro="">
      <xdr:nvGraphicFramePr>
        <xdr:cNvPr id="6" name="Gráfico 7">
          <a:extLst>
            <a:ext uri="{FF2B5EF4-FFF2-40B4-BE49-F238E27FC236}">
              <a16:creationId xmlns:a16="http://schemas.microsoft.com/office/drawing/2014/main" id="{D65E5787-0405-2EF3-91FB-E7EDE974E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66675</xdr:colOff>
      <xdr:row>27</xdr:row>
      <xdr:rowOff>28575</xdr:rowOff>
    </xdr:from>
    <xdr:to>
      <xdr:col>27</xdr:col>
      <xdr:colOff>61125</xdr:colOff>
      <xdr:row>45</xdr:row>
      <xdr:rowOff>74925</xdr:rowOff>
    </xdr:to>
    <xdr:graphicFrame macro="">
      <xdr:nvGraphicFramePr>
        <xdr:cNvPr id="7" name="Gráfico 9">
          <a:extLst>
            <a:ext uri="{FF2B5EF4-FFF2-40B4-BE49-F238E27FC236}">
              <a16:creationId xmlns:a16="http://schemas.microsoft.com/office/drawing/2014/main" id="{3DBF9D58-C1AF-EBD9-9D4F-456040DC3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123825</xdr:colOff>
      <xdr:row>27</xdr:row>
      <xdr:rowOff>28575</xdr:rowOff>
    </xdr:from>
    <xdr:to>
      <xdr:col>39</xdr:col>
      <xdr:colOff>118275</xdr:colOff>
      <xdr:row>45</xdr:row>
      <xdr:rowOff>74925</xdr:rowOff>
    </xdr:to>
    <xdr:graphicFrame macro="">
      <xdr:nvGraphicFramePr>
        <xdr:cNvPr id="8" name="Gráfico 8">
          <a:extLst>
            <a:ext uri="{FF2B5EF4-FFF2-40B4-BE49-F238E27FC236}">
              <a16:creationId xmlns:a16="http://schemas.microsoft.com/office/drawing/2014/main" id="{D3F9AFD2-D485-5D66-C67F-5237CFB10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66675</xdr:colOff>
      <xdr:row>34</xdr:row>
      <xdr:rowOff>104775</xdr:rowOff>
    </xdr:from>
    <xdr:to>
      <xdr:col>11</xdr:col>
      <xdr:colOff>57150</xdr:colOff>
      <xdr:row>40</xdr:row>
      <xdr:rowOff>76200</xdr:rowOff>
    </xdr:to>
    <xdr:sp macro="" textlink="DN_Vendas!J4">
      <xdr:nvSpPr>
        <xdr:cNvPr id="9" name="CaixaDeTexto 8">
          <a:extLst>
            <a:ext uri="{FF2B5EF4-FFF2-40B4-BE49-F238E27FC236}">
              <a16:creationId xmlns:a16="http://schemas.microsoft.com/office/drawing/2014/main" id="{C35094F3-251F-4C1A-BE4F-A1AC52798358}"/>
            </a:ext>
          </a:extLst>
        </xdr:cNvPr>
        <xdr:cNvSpPr txBox="1"/>
      </xdr:nvSpPr>
      <xdr:spPr>
        <a:xfrm>
          <a:off x="733425" y="4314825"/>
          <a:ext cx="790575" cy="714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A6F694F-7D25-46D0-B9FD-6345BCF0B754}" type="TxLink">
            <a:rPr lang="en-US" sz="24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ctr"/>
            <a:t>16%</a:t>
          </a:fld>
          <a:endParaRPr lang="pt-BR" sz="24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18</xdr:col>
      <xdr:colOff>9525</xdr:colOff>
      <xdr:row>34</xdr:row>
      <xdr:rowOff>104775</xdr:rowOff>
    </xdr:from>
    <xdr:to>
      <xdr:col>24</xdr:col>
      <xdr:colOff>0</xdr:colOff>
      <xdr:row>40</xdr:row>
      <xdr:rowOff>76200</xdr:rowOff>
    </xdr:to>
    <xdr:sp macro="" textlink="DN_Vendas!J6">
      <xdr:nvSpPr>
        <xdr:cNvPr id="10" name="CaixaDeTexto 9">
          <a:extLst>
            <a:ext uri="{FF2B5EF4-FFF2-40B4-BE49-F238E27FC236}">
              <a16:creationId xmlns:a16="http://schemas.microsoft.com/office/drawing/2014/main" id="{FFCB35C7-B7C4-4216-9E77-5042322C87D0}"/>
            </a:ext>
          </a:extLst>
        </xdr:cNvPr>
        <xdr:cNvSpPr txBox="1"/>
      </xdr:nvSpPr>
      <xdr:spPr>
        <a:xfrm>
          <a:off x="2409825" y="4314825"/>
          <a:ext cx="790575" cy="714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FAC5019-15A8-401A-AB9A-BAECB3E50E0C}" type="TxLink">
            <a:rPr lang="en-US" sz="24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ctr"/>
            <a:t>73%</a:t>
          </a:fld>
          <a:endParaRPr lang="pt-BR" sz="24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30</xdr:col>
      <xdr:colOff>57150</xdr:colOff>
      <xdr:row>34</xdr:row>
      <xdr:rowOff>104775</xdr:rowOff>
    </xdr:from>
    <xdr:to>
      <xdr:col>36</xdr:col>
      <xdr:colOff>47625</xdr:colOff>
      <xdr:row>40</xdr:row>
      <xdr:rowOff>76200</xdr:rowOff>
    </xdr:to>
    <xdr:sp macro="" textlink="DN_Vendas!J5">
      <xdr:nvSpPr>
        <xdr:cNvPr id="11" name="CaixaDeTexto 10">
          <a:extLst>
            <a:ext uri="{FF2B5EF4-FFF2-40B4-BE49-F238E27FC236}">
              <a16:creationId xmlns:a16="http://schemas.microsoft.com/office/drawing/2014/main" id="{FD3A62CA-6EC9-46DC-A04C-0F9BC008226D}"/>
            </a:ext>
          </a:extLst>
        </xdr:cNvPr>
        <xdr:cNvSpPr txBox="1"/>
      </xdr:nvSpPr>
      <xdr:spPr>
        <a:xfrm>
          <a:off x="4057650" y="4314825"/>
          <a:ext cx="790575" cy="714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9A4117E-AA1C-44D9-8215-81DCC9C330C1}" type="TxLink">
            <a:rPr lang="en-US" sz="24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ctr"/>
            <a:t>11%</a:t>
          </a:fld>
          <a:endParaRPr lang="pt-BR" sz="24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9525</xdr:colOff>
      <xdr:row>5</xdr:row>
      <xdr:rowOff>49990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1E5371-819C-4A8F-821F-EED1F8598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2</xdr:col>
      <xdr:colOff>19050</xdr:colOff>
      <xdr:row>10</xdr:row>
      <xdr:rowOff>14287</xdr:rowOff>
    </xdr:from>
    <xdr:to>
      <xdr:col>79</xdr:col>
      <xdr:colOff>114300</xdr:colOff>
      <xdr:row>23</xdr:row>
      <xdr:rowOff>85725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4FCE4390-48E2-25C4-DDC4-7C5DD154C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82</xdr:col>
      <xdr:colOff>0</xdr:colOff>
      <xdr:row>7</xdr:row>
      <xdr:rowOff>104775</xdr:rowOff>
    </xdr:from>
    <xdr:to>
      <xdr:col>107</xdr:col>
      <xdr:colOff>0</xdr:colOff>
      <xdr:row>18</xdr:row>
      <xdr:rowOff>114300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Data">
              <a:extLst>
                <a:ext uri="{FF2B5EF4-FFF2-40B4-BE49-F238E27FC236}">
                  <a16:creationId xmlns:a16="http://schemas.microsoft.com/office/drawing/2014/main" id="{314BD8FB-335C-32ED-F48E-EE58C62FF3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4700" y="9715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42</xdr:col>
      <xdr:colOff>0</xdr:colOff>
      <xdr:row>26</xdr:row>
      <xdr:rowOff>104775</xdr:rowOff>
    </xdr:from>
    <xdr:to>
      <xdr:col>79</xdr:col>
      <xdr:colOff>114300</xdr:colOff>
      <xdr:row>46</xdr:row>
      <xdr:rowOff>0</xdr:rowOff>
    </xdr:to>
    <xdr:graphicFrame macro="">
      <xdr:nvGraphicFramePr>
        <xdr:cNvPr id="6" name="Gráfico 4">
          <a:extLst>
            <a:ext uri="{FF2B5EF4-FFF2-40B4-BE49-F238E27FC236}">
              <a16:creationId xmlns:a16="http://schemas.microsoft.com/office/drawing/2014/main" id="{C8ACC770-0612-F57C-6EF4-83000555A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27</xdr:row>
      <xdr:rowOff>0</xdr:rowOff>
    </xdr:from>
    <xdr:to>
      <xdr:col>14</xdr:col>
      <xdr:colOff>127800</xdr:colOff>
      <xdr:row>45</xdr:row>
      <xdr:rowOff>46350</xdr:rowOff>
    </xdr:to>
    <xdr:graphicFrame macro="">
      <xdr:nvGraphicFramePr>
        <xdr:cNvPr id="11" name="Gráfico 12">
          <a:extLst>
            <a:ext uri="{FF2B5EF4-FFF2-40B4-BE49-F238E27FC236}">
              <a16:creationId xmlns:a16="http://schemas.microsoft.com/office/drawing/2014/main" id="{44BD5669-50AE-075D-7A0A-480FA1946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66675</xdr:colOff>
      <xdr:row>27</xdr:row>
      <xdr:rowOff>19050</xdr:rowOff>
    </xdr:from>
    <xdr:to>
      <xdr:col>27</xdr:col>
      <xdr:colOff>61125</xdr:colOff>
      <xdr:row>45</xdr:row>
      <xdr:rowOff>65400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CDECD92-F910-9272-5A28-617B8C151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0</xdr:colOff>
      <xdr:row>27</xdr:row>
      <xdr:rowOff>38100</xdr:rowOff>
    </xdr:from>
    <xdr:to>
      <xdr:col>39</xdr:col>
      <xdr:colOff>127800</xdr:colOff>
      <xdr:row>45</xdr:row>
      <xdr:rowOff>84450</xdr:rowOff>
    </xdr:to>
    <xdr:graphicFrame macro="">
      <xdr:nvGraphicFramePr>
        <xdr:cNvPr id="13" name="Gráfico 10">
          <a:extLst>
            <a:ext uri="{FF2B5EF4-FFF2-40B4-BE49-F238E27FC236}">
              <a16:creationId xmlns:a16="http://schemas.microsoft.com/office/drawing/2014/main" id="{BAE56549-9BFD-FFC9-7466-88021F452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6</xdr:col>
      <xdr:colOff>0</xdr:colOff>
      <xdr:row>36</xdr:row>
      <xdr:rowOff>0</xdr:rowOff>
    </xdr:from>
    <xdr:ext cx="721031" cy="468013"/>
    <xdr:sp macro="" textlink="DN_Vendas_Hist!L4">
      <xdr:nvSpPr>
        <xdr:cNvPr id="14" name="CaixaDeTexto 13">
          <a:extLst>
            <a:ext uri="{FF2B5EF4-FFF2-40B4-BE49-F238E27FC236}">
              <a16:creationId xmlns:a16="http://schemas.microsoft.com/office/drawing/2014/main" id="{AD40F892-D27B-99F1-A9DB-2B6069325814}"/>
            </a:ext>
          </a:extLst>
        </xdr:cNvPr>
        <xdr:cNvSpPr txBox="1"/>
      </xdr:nvSpPr>
      <xdr:spPr>
        <a:xfrm>
          <a:off x="800100" y="4457700"/>
          <a:ext cx="721031" cy="4680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2E9C6F7-9BD4-47B2-B6BB-7539BA0CE0B2}" type="TxLink">
            <a:rPr lang="en-US" sz="24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ctr"/>
            <a:t>15%</a:t>
          </a:fld>
          <a:endParaRPr lang="pt-BR" sz="24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17</xdr:col>
      <xdr:colOff>0</xdr:colOff>
      <xdr:row>16</xdr:row>
      <xdr:rowOff>0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6C1B1603-9059-0725-65AB-EE80F90F6AB9}"/>
            </a:ext>
          </a:extLst>
        </xdr:cNvPr>
        <xdr:cNvSpPr txBox="1"/>
      </xdr:nvSpPr>
      <xdr:spPr>
        <a:xfrm>
          <a:off x="2266950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0.23542</cdr:x>
      <cdr:y>0.29905</cdr:y>
    </cdr:from>
    <cdr:to>
      <cdr:x>0.76458</cdr:x>
      <cdr:y>0.70095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B5FC5C4-8C6E-4798-B709-CB08F4B4AE8B}"/>
            </a:ext>
          </a:extLst>
        </cdr:cNvPr>
        <cdr:cNvSpPr txBox="1"/>
      </cdr:nvSpPr>
      <cdr:spPr>
        <a:xfrm xmlns:a="http://schemas.openxmlformats.org/drawingml/2006/main">
          <a:off x="406800" y="680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0.20395</cdr:x>
      <cdr:y>0.37259</cdr:y>
    </cdr:from>
    <cdr:to>
      <cdr:x>0.73312</cdr:x>
      <cdr:y>0.77449</cdr:y>
    </cdr:to>
    <cdr:sp macro="" textlink="DN_Vendas_Hist!$L$5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8B2441B4-C45B-8C48-EFAF-A392EBF72506}"/>
            </a:ext>
          </a:extLst>
        </cdr:cNvPr>
        <cdr:cNvSpPr txBox="1"/>
      </cdr:nvSpPr>
      <cdr:spPr>
        <a:xfrm xmlns:a="http://schemas.openxmlformats.org/drawingml/2006/main">
          <a:off x="352425" y="847725"/>
          <a:ext cx="914400" cy="9144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A4FA7448-932B-49F3-8A6E-EEB128E20987}" type="TxLink">
            <a:rPr lang="en-US" sz="24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ctr"/>
            <a:t>20%</a:t>
          </a:fld>
          <a:endParaRPr lang="pt-BR" sz="24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0.24253</cdr:x>
      <cdr:y>0.34329</cdr:y>
    </cdr:from>
    <cdr:to>
      <cdr:x>0.7717</cdr:x>
      <cdr:y>0.74519</cdr:y>
    </cdr:to>
    <cdr:sp macro="" textlink="DN_Vendas_Hist!$L$6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D68B880-16CA-FD4D-832D-02651B93A894}"/>
            </a:ext>
          </a:extLst>
        </cdr:cNvPr>
        <cdr:cNvSpPr txBox="1"/>
      </cdr:nvSpPr>
      <cdr:spPr>
        <a:xfrm xmlns:a="http://schemas.openxmlformats.org/drawingml/2006/main">
          <a:off x="419100" y="781050"/>
          <a:ext cx="914400" cy="9144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DFEC4BB1-8E71-4562-8A5A-668855741598}" type="TxLink">
            <a:rPr lang="en-US" sz="24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ctr"/>
            <a:t>65%</a:t>
          </a:fld>
          <a:endParaRPr lang="pt-BR" sz="24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168.766250231478" createdVersion="8" refreshedVersion="8" minRefreshableVersion="3" recordCount="60" xr:uid="{7AB96658-ECC6-4382-87EF-AC22B432EE5C}">
  <cacheSource type="worksheet">
    <worksheetSource name="TB_Produtos"/>
  </cacheSource>
  <cacheFields count="6">
    <cacheField name="Código" numFmtId="0">
      <sharedItems/>
    </cacheField>
    <cacheField name="Produtos" numFmtId="0">
      <sharedItems count="26">
        <s v="Bermuda"/>
        <s v="Bolsa coringa"/>
        <s v="Bolsa de couro"/>
        <s v="Boné"/>
        <s v="Calça jeans"/>
        <s v="Calça legging"/>
        <s v="Camiseta Estampada"/>
        <s v="Camiseta Lisa"/>
        <s v="Camiseta Lisa "/>
        <s v="Cinto"/>
        <s v="Jaqueta couro"/>
        <s v="Jaqueta jeans"/>
        <s v="Óculos quadrado"/>
        <s v="Óculos redondo"/>
        <s v="Tênis Atitas"/>
        <s v="Tênis Chunky"/>
        <s v="Vestido curto"/>
        <s v="Vestido longo"/>
        <s v="Camiseta Conforto"/>
        <s v="Vestido Floral"/>
        <s v="Jaqueta de Couro"/>
        <s v="Camiseta Listrada"/>
        <s v="Saia Plissada"/>
        <s v="Sandália Rasteira"/>
        <s v="Calça Alfaiataria"/>
        <s v="Produto Novo" u="1"/>
      </sharedItems>
    </cacheField>
    <cacheField name="Tamanho" numFmtId="0">
      <sharedItems containsMixedTypes="1" containsNumber="1" containsInteger="1" minValue="35" maxValue="38"/>
    </cacheField>
    <cacheField name="Categoria" numFmtId="0">
      <sharedItems count="4">
        <s v="Vestuário"/>
        <s v="Acessórios"/>
        <s v="Calçado"/>
        <s v="Categoria Nova" u="1"/>
      </sharedItems>
    </cacheField>
    <cacheField name="Estoque" numFmtId="0">
      <sharedItems containsSemiMixedTypes="0" containsString="0" containsNumber="1" containsInteger="1" minValue="0" maxValue="50"/>
    </cacheField>
    <cacheField name="Preço Unitário" numFmtId="0">
      <sharedItems containsSemiMixedTypes="0" containsString="0" containsNumber="1" minValue="25.9" maxValue="349.9"/>
    </cacheField>
  </cacheFields>
  <extLst>
    <ext xmlns:x14="http://schemas.microsoft.com/office/spreadsheetml/2009/9/main" uri="{725AE2AE-9491-48be-B2B4-4EB974FC3084}">
      <x14:pivotCacheDefinition pivotCacheId="18884865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5170.654828472223" backgroundQuery="1" createdVersion="8" refreshedVersion="8" minRefreshableVersion="3" recordCount="0" supportSubquery="1" supportAdvancedDrill="1" xr:uid="{B695F69F-2F1C-453F-91B3-5A1150E2C639}">
  <cacheSource type="external" connectionId="2"/>
  <cacheFields count="4">
    <cacheField name="[TB_Vendas].[Categoria].[Categoria]" caption="Categoria" numFmtId="0" hierarchy="13" level="1">
      <sharedItems count="3">
        <s v="Acessórios"/>
        <s v="Calçado"/>
        <s v="Vestuário"/>
      </sharedItems>
    </cacheField>
    <cacheField name="[Measures].[% Categoria]" caption="% Categoria" numFmtId="0" hierarchy="39" level="32767"/>
    <cacheField name="[Measures].[% Restante]" caption="% Restante" numFmtId="0" hierarchy="40" level="32767"/>
    <cacheField name="[Measures].[Soma de Total]" caption="Soma de Total" numFmtId="0" hierarchy="47" level="32767"/>
  </cacheFields>
  <cacheHierarchies count="54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0" memberValueDatatype="130" unbalanced="0"/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2" memberValueDatatype="130" unbalanced="0">
      <fieldsUsage count="2">
        <fieldUsage x="-1"/>
        <fieldUsage x="0"/>
      </fieldsUsage>
    </cacheHierarchy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as_hist].[Data]" caption="Data" attribute="1" time="1" defaultMemberUniqueName="[tb_vendas_hist].[Data].[All]" allUniqueName="[tb_vendas_hist].[Data].[All]" dimensionUniqueName="[tb_vendas_hist]" displayFolder="" count="0" memberValueDatatype="7" unbalanced="0"/>
    <cacheHierarchy uniqueName="[tb_vendas_hist].[Código]" caption="Código" attribute="1" defaultMemberUniqueName="[tb_vendas_hist].[Código].[All]" allUniqueName="[tb_vendas_hist].[Código].[All]" dimensionUniqueName="[tb_vendas_hist]" displayFolder="" count="0" memberValueDatatype="130" unbalanced="0"/>
    <cacheHierarchy uniqueName="[tb_vendas_hist].[Categoria]" caption="Categoria" attribute="1" defaultMemberUniqueName="[tb_vendas_hist].[Categoria].[All]" allUniqueName="[tb_vendas_hist].[Categoria].[All]" dimensionUniqueName="[tb_vendas_hist]" displayFolder="" count="0" memberValueDatatype="130" unbalanced="0"/>
    <cacheHierarchy uniqueName="[tb_vendas_hist].[Qtd]" caption="Qtd" attribute="1" defaultMemberUniqueName="[tb_vendas_hist].[Qtd].[All]" allUniqueName="[tb_vendas_hist].[Qtd].[All]" dimensionUniqueName="[tb_vendas_hist]" displayFolder="" count="0" memberValueDatatype="20" unbalanced="0"/>
    <cacheHierarchy uniqueName="[tb_vendas_hist].[Preço Unitário]" caption="Preço Unitário" attribute="1" defaultMemberUniqueName="[tb_vendas_hist].[Preço Unitário].[All]" allUniqueName="[tb_vendas_hist].[Preço Unitário].[All]" dimensionUniqueName="[tb_vendas_hist]" displayFolder="" count="0" memberValueDatatype="5" unbalanced="0"/>
    <cacheHierarchy uniqueName="[tb_vendas_hist].[Desconto Final]" caption="Desconto Final" attribute="1" defaultMemberUniqueName="[tb_vendas_hist].[Desconto Final].[All]" allUniqueName="[tb_vendas_hist].[Desconto Final].[All]" dimensionUniqueName="[tb_vendas_hist]" displayFolder="" count="0" memberValueDatatype="5" unbalanced="0"/>
    <cacheHierarchy uniqueName="[tb_vendas_hist].[Total]" caption="Total" attribute="1" defaultMemberUniqueName="[tb_vendas_hist].[Total].[All]" allUniqueName="[tb_vendas_hist].[Total].[All]" dimensionUniqueName="[tb_vendas_hist]" displayFolder="" count="0" memberValueDatatype="5" unbalanced="0"/>
    <cacheHierarchy uniqueName="[tb_vendas_hist].[Vendedor]" caption="Vendedor" attribute="1" defaultMemberUniqueName="[tb_vendas_hist].[Vendedor].[All]" allUniqueName="[tb_vendas_hist].[Vendedor].[All]" dimensionUniqueName="[tb_vendas_hist]" displayFolder="" count="0" memberValueDatatype="130" unbalanced="0"/>
    <cacheHierarchy uniqueName="[tb_vendas_hist].[Data (Ano)]" caption="Data (Ano)" attribute="1" defaultMemberUniqueName="[tb_vendas_hist].[Data (Ano)].[All]" allUniqueName="[tb_vendas_hist].[Data (Ano)].[All]" dimensionUniqueName="[tb_vendas_hist]" displayFolder="" count="0" memberValueDatatype="130" unbalanced="0"/>
    <cacheHierarchy uniqueName="[tb_vendas_hist].[Data (Trimestre)]" caption="Data (Trimestre)" attribute="1" defaultMemberUniqueName="[tb_vendas_hist].[Data (Trimestre)].[All]" allUniqueName="[tb_vendas_hist].[Data (Trimestre)].[All]" dimensionUniqueName="[tb_vendas_hist]" displayFolder="" count="0" memberValueDatatype="130" unbalanced="0"/>
    <cacheHierarchy uniqueName="[tb_vendas_hist].[Data (Mês)]" caption="Data (Mês)" attribute="1" defaultMemberUniqueName="[tb_vendas_hist].[Data (Mês)].[All]" allUniqueName="[tb_vendas_hist].[Data (Mês)].[All]" dimensionUniqueName="[tb_vendas_hist]" displayFolder="" count="0" memberValueDatatype="130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tb_vendas_hist].[Data (Índice de Mês)]" caption="Data (Índice de Mês)" attribute="1" defaultMemberUniqueName="[tb_vendas_hist].[Data (Índice de Mês)].[All]" allUniqueName="[tb_vendas_hist].[Data (Índice de Mês)].[All]" dimensionUniqueName="[tb_vendas_hist]" displayFolder="" count="0" memberValueDatatype="20" unbalanced="0" hidden="1"/>
    <cacheHierarchy uniqueName="[Measures].[Soma de Vendas]" caption="Soma de Vendas" measure="1" displayFolder="" measureGroup="TB_Vendas" count="0"/>
    <cacheHierarchy uniqueName="[Measures].[Vendas Totais]" caption="Vendas Totais" measure="1" displayFolder="" measureGroup="TB_Vendas" count="0"/>
    <cacheHierarchy uniqueName="[Measures].[% Categoria]" caption="% Categoria" measure="1" displayFolder="" measureGroup="TB_Vendas" count="0" oneField="1">
      <fieldsUsage count="1">
        <fieldUsage x="1"/>
      </fieldsUsage>
    </cacheHierarchy>
    <cacheHierarchy uniqueName="[Measures].[% Restante]" caption="% Restante" measure="1" displayFolder="" measureGroup="TB_Vendas" count="0" oneField="1">
      <fieldsUsage count="1">
        <fieldUsage x="2"/>
      </fieldsUsage>
    </cacheHierarchy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XL_Count tb_vendas_hist]" caption="__XL_Count tb_vendas_hist" measure="1" displayFolder="" measureGroup="tb_vendas_hist" count="0" hidden="1"/>
    <cacheHierarchy uniqueName="[Measures].[__No measures defined]" caption="__No measures defined" measure="1" displayFolder="" count="0" hidden="1"/>
    <cacheHierarchy uniqueName="[Measures].[Soma de Qtd]" caption="Soma de Qtd" measure="1" displayFolder="" measureGroup="TB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]" caption="Soma de Total" measure="1" displayFolder="" measureGroup="TB_Vend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Preço Unitário]" caption="Soma de Preço Unitário" measure="1" displayFolder="" measureGroup="TB_Venda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Total]" caption="Contagem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Qtd 2]" caption="Soma de Qtd 2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Preço Unitário 2]" caption="Soma de Preço Unitário 2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Desconto Final]" caption="Soma de Desconto Final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Total 2]" caption="Soma de Total 2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5">
    <dimension name="Intervalo" uniqueName="[Intervalo]" caption="Intervalo"/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as_hist" uniqueName="[tb_vendas_hist]" caption="tb_vendas_hist"/>
  </dimensions>
  <measureGroups count="4">
    <measureGroup name="Intervalo" caption="Intervalo"/>
    <measureGroup name="TB_Produtos" caption="TB_Produtos"/>
    <measureGroup name="TB_Vendas" caption="TB_Vendas"/>
    <measureGroup name="tb_vendas_hist" caption="tb_vendas_hist"/>
  </measureGroups>
  <maps count="6">
    <map measureGroup="0" dimension="0"/>
    <map measureGroup="1" dimension="2"/>
    <map measureGroup="2" dimension="0"/>
    <map measureGroup="2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5170.649251967596" backgroundQuery="1" createdVersion="8" refreshedVersion="8" minRefreshableVersion="3" recordCount="0" supportSubquery="1" supportAdvancedDrill="1" xr:uid="{0E9C5593-B01E-4C8F-AFAD-4007B27D76B7}">
  <cacheSource type="external" connectionId="2"/>
  <cacheFields count="4">
    <cacheField name="[TB_Vendas].[Data (Mês)].[Data (Mês)]" caption="Data (Mês)" numFmtId="0" hierarchy="23" level="1">
      <sharedItems count="8">
        <s v="jan"/>
        <s v="fev"/>
        <s v="mar"/>
        <s v="abr"/>
        <s v="mai"/>
        <s v="jun"/>
        <s v="jul"/>
        <s v="ago"/>
      </sharedItems>
    </cacheField>
    <cacheField name="[Measures].[Soma de Qtd]" caption="Soma de Qtd" numFmtId="0" hierarchy="46" level="32767"/>
    <cacheField name="[Measures].[Soma de Total]" caption="Soma de Total" numFmtId="0" hierarchy="47" level="32767"/>
    <cacheField name="[TB_Vendas].[Data].[Data]" caption="Data" numFmtId="0" hierarchy="11" level="1">
      <sharedItems containsSemiMixedTypes="0" containsNonDate="0" containsString="0"/>
    </cacheField>
  </cacheFields>
  <cacheHierarchies count="54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0" memberValueDatatype="130" unbalanced="0"/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2" memberValueDatatype="7" unbalanced="0">
      <fieldsUsage count="2">
        <fieldUsage x="-1"/>
        <fieldUsage x="3"/>
      </fieldsUsage>
    </cacheHierarchy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2" memberValueDatatype="130" unbalanced="0">
      <fieldsUsage count="2">
        <fieldUsage x="-1"/>
        <fieldUsage x="0"/>
      </fieldsUsage>
    </cacheHierarchy>
    <cacheHierarchy uniqueName="[tb_vendas_hist].[Data]" caption="Data" attribute="1" time="1" defaultMemberUniqueName="[tb_vendas_hist].[Data].[All]" allUniqueName="[tb_vendas_hist].[Data].[All]" dimensionUniqueName="[tb_vendas_hist]" displayFolder="" count="0" memberValueDatatype="7" unbalanced="0"/>
    <cacheHierarchy uniqueName="[tb_vendas_hist].[Código]" caption="Código" attribute="1" defaultMemberUniqueName="[tb_vendas_hist].[Código].[All]" allUniqueName="[tb_vendas_hist].[Código].[All]" dimensionUniqueName="[tb_vendas_hist]" displayFolder="" count="0" memberValueDatatype="130" unbalanced="0"/>
    <cacheHierarchy uniqueName="[tb_vendas_hist].[Categoria]" caption="Categoria" attribute="1" defaultMemberUniqueName="[tb_vendas_hist].[Categoria].[All]" allUniqueName="[tb_vendas_hist].[Categoria].[All]" dimensionUniqueName="[tb_vendas_hist]" displayFolder="" count="0" memberValueDatatype="130" unbalanced="0"/>
    <cacheHierarchy uniqueName="[tb_vendas_hist].[Qtd]" caption="Qtd" attribute="1" defaultMemberUniqueName="[tb_vendas_hist].[Qtd].[All]" allUniqueName="[tb_vendas_hist].[Qtd].[All]" dimensionUniqueName="[tb_vendas_hist]" displayFolder="" count="0" memberValueDatatype="20" unbalanced="0"/>
    <cacheHierarchy uniqueName="[tb_vendas_hist].[Preço Unitário]" caption="Preço Unitário" attribute="1" defaultMemberUniqueName="[tb_vendas_hist].[Preço Unitário].[All]" allUniqueName="[tb_vendas_hist].[Preço Unitário].[All]" dimensionUniqueName="[tb_vendas_hist]" displayFolder="" count="0" memberValueDatatype="5" unbalanced="0"/>
    <cacheHierarchy uniqueName="[tb_vendas_hist].[Desconto Final]" caption="Desconto Final" attribute="1" defaultMemberUniqueName="[tb_vendas_hist].[Desconto Final].[All]" allUniqueName="[tb_vendas_hist].[Desconto Final].[All]" dimensionUniqueName="[tb_vendas_hist]" displayFolder="" count="0" memberValueDatatype="5" unbalanced="0"/>
    <cacheHierarchy uniqueName="[tb_vendas_hist].[Total]" caption="Total" attribute="1" defaultMemberUniqueName="[tb_vendas_hist].[Total].[All]" allUniqueName="[tb_vendas_hist].[Total].[All]" dimensionUniqueName="[tb_vendas_hist]" displayFolder="" count="0" memberValueDatatype="5" unbalanced="0"/>
    <cacheHierarchy uniqueName="[tb_vendas_hist].[Vendedor]" caption="Vendedor" attribute="1" defaultMemberUniqueName="[tb_vendas_hist].[Vendedor].[All]" allUniqueName="[tb_vendas_hist].[Vendedor].[All]" dimensionUniqueName="[tb_vendas_hist]" displayFolder="" count="0" memberValueDatatype="130" unbalanced="0"/>
    <cacheHierarchy uniqueName="[tb_vendas_hist].[Data (Ano)]" caption="Data (Ano)" attribute="1" defaultMemberUniqueName="[tb_vendas_hist].[Data (Ano)].[All]" allUniqueName="[tb_vendas_hist].[Data (Ano)].[All]" dimensionUniqueName="[tb_vendas_hist]" displayFolder="" count="0" memberValueDatatype="130" unbalanced="0"/>
    <cacheHierarchy uniqueName="[tb_vendas_hist].[Data (Trimestre)]" caption="Data (Trimestre)" attribute="1" defaultMemberUniqueName="[tb_vendas_hist].[Data (Trimestre)].[All]" allUniqueName="[tb_vendas_hist].[Data (Trimestre)].[All]" dimensionUniqueName="[tb_vendas_hist]" displayFolder="" count="0" memberValueDatatype="130" unbalanced="0"/>
    <cacheHierarchy uniqueName="[tb_vendas_hist].[Data (Mês)]" caption="Data (Mês)" attribute="1" defaultMemberUniqueName="[tb_vendas_hist].[Data (Mês)].[All]" allUniqueName="[tb_vendas_hist].[Data (Mês)].[All]" dimensionUniqueName="[tb_vendas_hist]" displayFolder="" count="0" memberValueDatatype="130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tb_vendas_hist].[Data (Índice de Mês)]" caption="Data (Índice de Mês)" attribute="1" defaultMemberUniqueName="[tb_vendas_hist].[Data (Índice de Mês)].[All]" allUniqueName="[tb_vendas_hist].[Data (Índice de Mês)].[All]" dimensionUniqueName="[tb_vendas_hist]" displayFolder="" count="0" memberValueDatatype="20" unbalanced="0" hidden="1"/>
    <cacheHierarchy uniqueName="[Measures].[Soma de Vendas]" caption="Soma de Vendas" measure="1" displayFolder="" measureGroup="TB_Vendas" count="0"/>
    <cacheHierarchy uniqueName="[Measures].[Vendas Totais]" caption="Vendas Totais" measure="1" displayFolder="" measureGroup="TB_Vendas" count="0"/>
    <cacheHierarchy uniqueName="[Measures].[% Categoria]" caption="% Categoria" measure="1" displayFolder="" measureGroup="TB_Vendas" count="0"/>
    <cacheHierarchy uniqueName="[Measures].[% Restante]" caption="% Restante" measure="1" displayFolder="" measureGroup="TB_Vendas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XL_Count tb_vendas_hist]" caption="__XL_Count tb_vendas_hist" measure="1" displayFolder="" measureGroup="tb_vendas_hist" count="0" hidden="1"/>
    <cacheHierarchy uniqueName="[Measures].[__No measures defined]" caption="__No measures defined" measure="1" displayFolder="" count="0" hidden="1"/>
    <cacheHierarchy uniqueName="[Measures].[Soma de Qtd]" caption="Soma de Qtd" measure="1" displayFolder="" measureGroup="TB_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]" caption="Soma de Total" measure="1" displayFolder="" measureGroup="TB_Vend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Preço Unitário]" caption="Soma de Preço Unitário" measure="1" displayFolder="" measureGroup="TB_Venda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Total]" caption="Contagem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Qtd 2]" caption="Soma de Qtd 2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Preço Unitário 2]" caption="Soma de Preço Unitário 2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Desconto Final]" caption="Soma de Desconto Final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Total 2]" caption="Soma de Total 2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5">
    <dimension name="Intervalo" uniqueName="[Intervalo]" caption="Intervalo"/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as_hist" uniqueName="[tb_vendas_hist]" caption="tb_vendas_hist"/>
  </dimensions>
  <measureGroups count="4">
    <measureGroup name="Intervalo" caption="Intervalo"/>
    <measureGroup name="TB_Produtos" caption="TB_Produtos"/>
    <measureGroup name="TB_Vendas" caption="TB_Vendas"/>
    <measureGroup name="tb_vendas_hist" caption="tb_vendas_hist"/>
  </measureGroups>
  <maps count="6">
    <map measureGroup="0" dimension="0"/>
    <map measureGroup="1" dimension="2"/>
    <map measureGroup="2" dimension="0"/>
    <map measureGroup="2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79.949321527776" backgroundQuery="1" createdVersion="8" refreshedVersion="8" minRefreshableVersion="3" recordCount="0" supportSubquery="1" supportAdvancedDrill="1" xr:uid="{43500E51-CEBE-48B0-881F-FF3439F00E5D}">
  <cacheSource type="external" connectionId="2"/>
  <cacheFields count="2">
    <cacheField name="[Intervalo].[Vendedor].[Vendedor]" caption="Vendedor" numFmtId="0" hierarchy="1" level="1">
      <sharedItems count="5">
        <s v="Amanda"/>
        <s v="Bruno"/>
        <s v="Clara"/>
        <s v="João"/>
        <s v="Sarah"/>
      </sharedItems>
    </cacheField>
    <cacheField name="[Measures].[Soma de Total]" caption="Soma de Total" numFmtId="0" hierarchy="47" level="32767"/>
  </cacheFields>
  <cacheHierarchies count="54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as_hist].[Data]" caption="Data" attribute="1" time="1" defaultMemberUniqueName="[tb_vendas_hist].[Data].[All]" allUniqueName="[tb_vendas_hist].[Data].[All]" dimensionUniqueName="[tb_vendas_hist]" displayFolder="" count="0" memberValueDatatype="7" unbalanced="0"/>
    <cacheHierarchy uniqueName="[tb_vendas_hist].[Código]" caption="Código" attribute="1" defaultMemberUniqueName="[tb_vendas_hist].[Código].[All]" allUniqueName="[tb_vendas_hist].[Código].[All]" dimensionUniqueName="[tb_vendas_hist]" displayFolder="" count="0" memberValueDatatype="130" unbalanced="0"/>
    <cacheHierarchy uniqueName="[tb_vendas_hist].[Categoria]" caption="Categoria" attribute="1" defaultMemberUniqueName="[tb_vendas_hist].[Categoria].[All]" allUniqueName="[tb_vendas_hist].[Categoria].[All]" dimensionUniqueName="[tb_vendas_hist]" displayFolder="" count="0" memberValueDatatype="130" unbalanced="0"/>
    <cacheHierarchy uniqueName="[tb_vendas_hist].[Qtd]" caption="Qtd" attribute="1" defaultMemberUniqueName="[tb_vendas_hist].[Qtd].[All]" allUniqueName="[tb_vendas_hist].[Qtd].[All]" dimensionUniqueName="[tb_vendas_hist]" displayFolder="" count="0" memberValueDatatype="20" unbalanced="0"/>
    <cacheHierarchy uniqueName="[tb_vendas_hist].[Preço Unitário]" caption="Preço Unitário" attribute="1" defaultMemberUniqueName="[tb_vendas_hist].[Preço Unitário].[All]" allUniqueName="[tb_vendas_hist].[Preço Unitário].[All]" dimensionUniqueName="[tb_vendas_hist]" displayFolder="" count="0" memberValueDatatype="5" unbalanced="0"/>
    <cacheHierarchy uniqueName="[tb_vendas_hist].[Desconto Final]" caption="Desconto Final" attribute="1" defaultMemberUniqueName="[tb_vendas_hist].[Desconto Final].[All]" allUniqueName="[tb_vendas_hist].[Desconto Final].[All]" dimensionUniqueName="[tb_vendas_hist]" displayFolder="" count="0" memberValueDatatype="5" unbalanced="0"/>
    <cacheHierarchy uniqueName="[tb_vendas_hist].[Total]" caption="Total" attribute="1" defaultMemberUniqueName="[tb_vendas_hist].[Total].[All]" allUniqueName="[tb_vendas_hist].[Total].[All]" dimensionUniqueName="[tb_vendas_hist]" displayFolder="" count="0" memberValueDatatype="5" unbalanced="0"/>
    <cacheHierarchy uniqueName="[tb_vendas_hist].[Vendedor]" caption="Vendedor" attribute="1" defaultMemberUniqueName="[tb_vendas_hist].[Vendedor].[All]" allUniqueName="[tb_vendas_hist].[Vendedor].[All]" dimensionUniqueName="[tb_vendas_hist]" displayFolder="" count="0" memberValueDatatype="130" unbalanced="0"/>
    <cacheHierarchy uniqueName="[tb_vendas_hist].[Data (Ano)]" caption="Data (Ano)" attribute="1" defaultMemberUniqueName="[tb_vendas_hist].[Data (Ano)].[All]" allUniqueName="[tb_vendas_hist].[Data (Ano)].[All]" dimensionUniqueName="[tb_vendas_hist]" displayFolder="" count="0" memberValueDatatype="130" unbalanced="0"/>
    <cacheHierarchy uniqueName="[tb_vendas_hist].[Data (Trimestre)]" caption="Data (Trimestre)" attribute="1" defaultMemberUniqueName="[tb_vendas_hist].[Data (Trimestre)].[All]" allUniqueName="[tb_vendas_hist].[Data (Trimestre)].[All]" dimensionUniqueName="[tb_vendas_hist]" displayFolder="" count="0" memberValueDatatype="130" unbalanced="0"/>
    <cacheHierarchy uniqueName="[tb_vendas_hist].[Data (Mês)]" caption="Data (Mês)" attribute="1" defaultMemberUniqueName="[tb_vendas_hist].[Data (Mês)].[All]" allUniqueName="[tb_vendas_hist].[Data (Mês)].[All]" dimensionUniqueName="[tb_vendas_hist]" displayFolder="" count="0" memberValueDatatype="130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tb_vendas_hist].[Data (Índice de Mês)]" caption="Data (Índice de Mês)" attribute="1" defaultMemberUniqueName="[tb_vendas_hist].[Data (Índice de Mês)].[All]" allUniqueName="[tb_vendas_hist].[Data (Índice de Mês)].[All]" dimensionUniqueName="[tb_vendas_hist]" displayFolder="" count="0" memberValueDatatype="20" unbalanced="0" hidden="1"/>
    <cacheHierarchy uniqueName="[Measures].[Soma de Vendas]" caption="Soma de Vendas" measure="1" displayFolder="" measureGroup="TB_Vendas" count="0"/>
    <cacheHierarchy uniqueName="[Measures].[Vendas Totais]" caption="Vendas Totais" measure="1" displayFolder="" measureGroup="TB_Vendas" count="0"/>
    <cacheHierarchy uniqueName="[Measures].[% Categoria]" caption="% Categoria" measure="1" displayFolder="" measureGroup="TB_Vendas" count="0"/>
    <cacheHierarchy uniqueName="[Measures].[% Restante]" caption="% Restante" measure="1" displayFolder="" measureGroup="TB_Vendas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XL_Count tb_vendas_hist]" caption="__XL_Count tb_vendas_hist" measure="1" displayFolder="" measureGroup="tb_vendas_hist" count="0" hidden="1"/>
    <cacheHierarchy uniqueName="[Measures].[__No measures defined]" caption="__No measures defined" measure="1" displayFolder="" count="0" hidden="1"/>
    <cacheHierarchy uniqueName="[Measures].[Soma de Qtd]" caption="Soma de Qtd" measure="1" displayFolder="" measureGroup="TB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]" caption="Soma de Total" measure="1" displayFolder="" measureGroup="TB_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Preço Unitário]" caption="Soma de Preço Unitário" measure="1" displayFolder="" measureGroup="TB_Venda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Total]" caption="Contagem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Qtd 2]" caption="Soma de Qtd 2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Preço Unitário 2]" caption="Soma de Preço Unitário 2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Desconto Final]" caption="Soma de Desconto Final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Total 2]" caption="Soma de Total 2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5">
    <dimension name="Intervalo" uniqueName="[Intervalo]" caption="Intervalo"/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as_hist" uniqueName="[tb_vendas_hist]" caption="tb_vendas_hist"/>
  </dimensions>
  <measureGroups count="4">
    <measureGroup name="Intervalo" caption="Intervalo"/>
    <measureGroup name="TB_Produtos" caption="TB_Produtos"/>
    <measureGroup name="TB_Vendas" caption="TB_Vendas"/>
    <measureGroup name="tb_vendas_hist" caption="tb_vendas_hist"/>
  </measureGroups>
  <maps count="7">
    <map measureGroup="0" dimension="0"/>
    <map measureGroup="1" dimension="2"/>
    <map measureGroup="2" dimension="0"/>
    <map measureGroup="2" dimension="2"/>
    <map measureGroup="2" dimension="3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79.953049305557" backgroundQuery="1" createdVersion="8" refreshedVersion="8" minRefreshableVersion="3" recordCount="0" supportSubquery="1" supportAdvancedDrill="1" xr:uid="{59D8AD7F-69FC-46E2-9E26-BE49C00E8FB8}">
  <cacheSource type="external" connectionId="2"/>
  <cacheFields count="3">
    <cacheField name="[Measures].[Soma de Qtd 2]" caption="Soma de Qtd 2" numFmtId="0" hierarchy="50" level="32767"/>
    <cacheField name="[Measures].[Soma de Total 2]" caption="Soma de Total 2" numFmtId="0" hierarchy="53" level="32767"/>
    <cacheField name="[tb_vendas_hist].[Data (Mês)].[Data (Mês)]" caption="Data (Mês)" numFmtId="0" hierarchy="34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</cacheFields>
  <cacheHierarchies count="54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0" memberValueDatatype="130" unbalanced="0"/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as_hist].[Data]" caption="Data" attribute="1" time="1" defaultMemberUniqueName="[tb_vendas_hist].[Data].[All]" allUniqueName="[tb_vendas_hist].[Data].[All]" dimensionUniqueName="[tb_vendas_hist]" displayFolder="" count="2" memberValueDatatype="7" unbalanced="0"/>
    <cacheHierarchy uniqueName="[tb_vendas_hist].[Código]" caption="Código" attribute="1" defaultMemberUniqueName="[tb_vendas_hist].[Código].[All]" allUniqueName="[tb_vendas_hist].[Código].[All]" dimensionUniqueName="[tb_vendas_hist]" displayFolder="" count="0" memberValueDatatype="130" unbalanced="0"/>
    <cacheHierarchy uniqueName="[tb_vendas_hist].[Categoria]" caption="Categoria" attribute="1" defaultMemberUniqueName="[tb_vendas_hist].[Categoria].[All]" allUniqueName="[tb_vendas_hist].[Categoria].[All]" dimensionUniqueName="[tb_vendas_hist]" displayFolder="" count="0" memberValueDatatype="130" unbalanced="0"/>
    <cacheHierarchy uniqueName="[tb_vendas_hist].[Qtd]" caption="Qtd" attribute="1" defaultMemberUniqueName="[tb_vendas_hist].[Qtd].[All]" allUniqueName="[tb_vendas_hist].[Qtd].[All]" dimensionUniqueName="[tb_vendas_hist]" displayFolder="" count="0" memberValueDatatype="20" unbalanced="0"/>
    <cacheHierarchy uniqueName="[tb_vendas_hist].[Preço Unitário]" caption="Preço Unitário" attribute="1" defaultMemberUniqueName="[tb_vendas_hist].[Preço Unitário].[All]" allUniqueName="[tb_vendas_hist].[Preço Unitário].[All]" dimensionUniqueName="[tb_vendas_hist]" displayFolder="" count="0" memberValueDatatype="5" unbalanced="0"/>
    <cacheHierarchy uniqueName="[tb_vendas_hist].[Desconto Final]" caption="Desconto Final" attribute="1" defaultMemberUniqueName="[tb_vendas_hist].[Desconto Final].[All]" allUniqueName="[tb_vendas_hist].[Desconto Final].[All]" dimensionUniqueName="[tb_vendas_hist]" displayFolder="" count="0" memberValueDatatype="5" unbalanced="0"/>
    <cacheHierarchy uniqueName="[tb_vendas_hist].[Total]" caption="Total" attribute="1" defaultMemberUniqueName="[tb_vendas_hist].[Total].[All]" allUniqueName="[tb_vendas_hist].[Total].[All]" dimensionUniqueName="[tb_vendas_hist]" displayFolder="" count="0" memberValueDatatype="5" unbalanced="0"/>
    <cacheHierarchy uniqueName="[tb_vendas_hist].[Vendedor]" caption="Vendedor" attribute="1" defaultMemberUniqueName="[tb_vendas_hist].[Vendedor].[All]" allUniqueName="[tb_vendas_hist].[Vendedor].[All]" dimensionUniqueName="[tb_vendas_hist]" displayFolder="" count="0" memberValueDatatype="130" unbalanced="0"/>
    <cacheHierarchy uniqueName="[tb_vendas_hist].[Data (Ano)]" caption="Data (Ano)" attribute="1" defaultMemberUniqueName="[tb_vendas_hist].[Data (Ano)].[All]" allUniqueName="[tb_vendas_hist].[Data (Ano)].[All]" dimensionUniqueName="[tb_vendas_hist]" displayFolder="" count="0" memberValueDatatype="130" unbalanced="0"/>
    <cacheHierarchy uniqueName="[tb_vendas_hist].[Data (Trimestre)]" caption="Data (Trimestre)" attribute="1" defaultMemberUniqueName="[tb_vendas_hist].[Data (Trimestre)].[All]" allUniqueName="[tb_vendas_hist].[Data (Trimestre)].[All]" dimensionUniqueName="[tb_vendas_hist]" displayFolder="" count="0" memberValueDatatype="130" unbalanced="0"/>
    <cacheHierarchy uniqueName="[tb_vendas_hist].[Data (Mês)]" caption="Data (Mês)" attribute="1" defaultMemberUniqueName="[tb_vendas_hist].[Data (Mês)].[All]" allUniqueName="[tb_vendas_hist].[Data (Mês)].[All]" dimensionUniqueName="[tb_vendas_hist]" displayFolder="" count="2" memberValueDatatype="130" unbalanced="0">
      <fieldsUsage count="2">
        <fieldUsage x="-1"/>
        <fieldUsage x="2"/>
      </fieldsUsage>
    </cacheHierarchy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tb_vendas_hist].[Data (Índice de Mês)]" caption="Data (Índice de Mês)" attribute="1" defaultMemberUniqueName="[tb_vendas_hist].[Data (Índice de Mês)].[All]" allUniqueName="[tb_vendas_hist].[Data (Índice de Mês)].[All]" dimensionUniqueName="[tb_vendas_hist]" displayFolder="" count="0" memberValueDatatype="20" unbalanced="0" hidden="1"/>
    <cacheHierarchy uniqueName="[Measures].[Soma de Vendas]" caption="Soma de Vendas" measure="1" displayFolder="" measureGroup="TB_Vendas" count="0"/>
    <cacheHierarchy uniqueName="[Measures].[Vendas Totais]" caption="Vendas Totais" measure="1" displayFolder="" measureGroup="TB_Vendas" count="0"/>
    <cacheHierarchy uniqueName="[Measures].[% Categoria]" caption="% Categoria" measure="1" displayFolder="" measureGroup="TB_Vendas" count="0"/>
    <cacheHierarchy uniqueName="[Measures].[% Restante]" caption="% Restante" measure="1" displayFolder="" measureGroup="TB_Vendas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XL_Count tb_vendas_hist]" caption="__XL_Count tb_vendas_hist" measure="1" displayFolder="" measureGroup="tb_vendas_hist" count="0" hidden="1"/>
    <cacheHierarchy uniqueName="[Measures].[__No measures defined]" caption="__No measures defined" measure="1" displayFolder="" count="0" hidden="1"/>
    <cacheHierarchy uniqueName="[Measures].[Soma de Qtd]" caption="Soma de Qtd" measure="1" displayFolder="" measureGroup="TB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]" caption="Soma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Preço Unitário]" caption="Soma de Preço Unitário" measure="1" displayFolder="" measureGroup="TB_Venda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Total]" caption="Contagem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Qtd 2]" caption="Soma de Qtd 2" measure="1" displayFolder="" measureGroup="tb_vendas_his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Preço Unitário 2]" caption="Soma de Preço Unitário 2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Desconto Final]" caption="Soma de Desconto Final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Total 2]" caption="Soma de Total 2" measure="1" displayFolder="" measureGroup="tb_vendas_hi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5">
    <dimension name="Intervalo" uniqueName="[Intervalo]" caption="Intervalo"/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as_hist" uniqueName="[tb_vendas_hist]" caption="tb_vendas_hist"/>
  </dimensions>
  <measureGroups count="4">
    <measureGroup name="Intervalo" caption="Intervalo"/>
    <measureGroup name="TB_Produtos" caption="TB_Produtos"/>
    <measureGroup name="TB_Vendas" caption="TB_Vendas"/>
    <measureGroup name="tb_vendas_hist" caption="tb_vendas_hist"/>
  </measureGroups>
  <maps count="8">
    <map measureGroup="0" dimension="0"/>
    <map measureGroup="1" dimension="2"/>
    <map measureGroup="2" dimension="0"/>
    <map measureGroup="2" dimension="2"/>
    <map measureGroup="2" dimension="3"/>
    <map measureGroup="3" dimension="0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79.953049768519" backgroundQuery="1" createdVersion="8" refreshedVersion="8" minRefreshableVersion="3" recordCount="0" supportSubquery="1" supportAdvancedDrill="1" xr:uid="{4BE054FB-FC44-4B62-9811-1BACE8260A8E}">
  <cacheSource type="external" connectionId="2"/>
  <cacheFields count="2">
    <cacheField name="[Intervalo].[Vendedor].[Vendedor]" caption="Vendedor" numFmtId="0" hierarchy="1" level="1">
      <sharedItems count="5">
        <s v="Amanda"/>
        <s v="Bruno"/>
        <s v="Clara"/>
        <s v="João"/>
        <s v="Sarah"/>
      </sharedItems>
    </cacheField>
    <cacheField name="[Measures].[Soma de Total 2]" caption="Soma de Total 2" numFmtId="0" hierarchy="53" level="32767"/>
  </cacheFields>
  <cacheHierarchies count="54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as_hist].[Data]" caption="Data" attribute="1" time="1" defaultMemberUniqueName="[tb_vendas_hist].[Data].[All]" allUniqueName="[tb_vendas_hist].[Data].[All]" dimensionUniqueName="[tb_vendas_hist]" displayFolder="" count="2" memberValueDatatype="7" unbalanced="0"/>
    <cacheHierarchy uniqueName="[tb_vendas_hist].[Código]" caption="Código" attribute="1" defaultMemberUniqueName="[tb_vendas_hist].[Código].[All]" allUniqueName="[tb_vendas_hist].[Código].[All]" dimensionUniqueName="[tb_vendas_hist]" displayFolder="" count="0" memberValueDatatype="130" unbalanced="0"/>
    <cacheHierarchy uniqueName="[tb_vendas_hist].[Categoria]" caption="Categoria" attribute="1" defaultMemberUniqueName="[tb_vendas_hist].[Categoria].[All]" allUniqueName="[tb_vendas_hist].[Categoria].[All]" dimensionUniqueName="[tb_vendas_hist]" displayFolder="" count="0" memberValueDatatype="130" unbalanced="0"/>
    <cacheHierarchy uniqueName="[tb_vendas_hist].[Qtd]" caption="Qtd" attribute="1" defaultMemberUniqueName="[tb_vendas_hist].[Qtd].[All]" allUniqueName="[tb_vendas_hist].[Qtd].[All]" dimensionUniqueName="[tb_vendas_hist]" displayFolder="" count="0" memberValueDatatype="20" unbalanced="0"/>
    <cacheHierarchy uniqueName="[tb_vendas_hist].[Preço Unitário]" caption="Preço Unitário" attribute="1" defaultMemberUniqueName="[tb_vendas_hist].[Preço Unitário].[All]" allUniqueName="[tb_vendas_hist].[Preço Unitário].[All]" dimensionUniqueName="[tb_vendas_hist]" displayFolder="" count="0" memberValueDatatype="5" unbalanced="0"/>
    <cacheHierarchy uniqueName="[tb_vendas_hist].[Desconto Final]" caption="Desconto Final" attribute="1" defaultMemberUniqueName="[tb_vendas_hist].[Desconto Final].[All]" allUniqueName="[tb_vendas_hist].[Desconto Final].[All]" dimensionUniqueName="[tb_vendas_hist]" displayFolder="" count="0" memberValueDatatype="5" unbalanced="0"/>
    <cacheHierarchy uniqueName="[tb_vendas_hist].[Total]" caption="Total" attribute="1" defaultMemberUniqueName="[tb_vendas_hist].[Total].[All]" allUniqueName="[tb_vendas_hist].[Total].[All]" dimensionUniqueName="[tb_vendas_hist]" displayFolder="" count="0" memberValueDatatype="5" unbalanced="0"/>
    <cacheHierarchy uniqueName="[tb_vendas_hist].[Vendedor]" caption="Vendedor" attribute="1" defaultMemberUniqueName="[tb_vendas_hist].[Vendedor].[All]" allUniqueName="[tb_vendas_hist].[Vendedor].[All]" dimensionUniqueName="[tb_vendas_hist]" displayFolder="" count="0" memberValueDatatype="130" unbalanced="0"/>
    <cacheHierarchy uniqueName="[tb_vendas_hist].[Data (Ano)]" caption="Data (Ano)" attribute="1" defaultMemberUniqueName="[tb_vendas_hist].[Data (Ano)].[All]" allUniqueName="[tb_vendas_hist].[Data (Ano)].[All]" dimensionUniqueName="[tb_vendas_hist]" displayFolder="" count="0" memberValueDatatype="130" unbalanced="0"/>
    <cacheHierarchy uniqueName="[tb_vendas_hist].[Data (Trimestre)]" caption="Data (Trimestre)" attribute="1" defaultMemberUniqueName="[tb_vendas_hist].[Data (Trimestre)].[All]" allUniqueName="[tb_vendas_hist].[Data (Trimestre)].[All]" dimensionUniqueName="[tb_vendas_hist]" displayFolder="" count="0" memberValueDatatype="130" unbalanced="0"/>
    <cacheHierarchy uniqueName="[tb_vendas_hist].[Data (Mês)]" caption="Data (Mês)" attribute="1" defaultMemberUniqueName="[tb_vendas_hist].[Data (Mês)].[All]" allUniqueName="[tb_vendas_hist].[Data (Mês)].[All]" dimensionUniqueName="[tb_vendas_hist]" displayFolder="" count="0" memberValueDatatype="130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tb_vendas_hist].[Data (Índice de Mês)]" caption="Data (Índice de Mês)" attribute="1" defaultMemberUniqueName="[tb_vendas_hist].[Data (Índice de Mês)].[All]" allUniqueName="[tb_vendas_hist].[Data (Índice de Mês)].[All]" dimensionUniqueName="[tb_vendas_hist]" displayFolder="" count="0" memberValueDatatype="20" unbalanced="0" hidden="1"/>
    <cacheHierarchy uniqueName="[Measures].[Soma de Vendas]" caption="Soma de Vendas" measure="1" displayFolder="" measureGroup="TB_Vendas" count="0"/>
    <cacheHierarchy uniqueName="[Measures].[Vendas Totais]" caption="Vendas Totais" measure="1" displayFolder="" measureGroup="TB_Vendas" count="0"/>
    <cacheHierarchy uniqueName="[Measures].[% Categoria]" caption="% Categoria" measure="1" displayFolder="" measureGroup="TB_Vendas" count="0"/>
    <cacheHierarchy uniqueName="[Measures].[% Restante]" caption="% Restante" measure="1" displayFolder="" measureGroup="TB_Vendas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XL_Count tb_vendas_hist]" caption="__XL_Count tb_vendas_hist" measure="1" displayFolder="" measureGroup="tb_vendas_hist" count="0" hidden="1"/>
    <cacheHierarchy uniqueName="[Measures].[__No measures defined]" caption="__No measures defined" measure="1" displayFolder="" count="0" hidden="1"/>
    <cacheHierarchy uniqueName="[Measures].[Soma de Qtd]" caption="Soma de Qtd" measure="1" displayFolder="" measureGroup="TB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]" caption="Soma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Preço Unitário]" caption="Soma de Preço Unitário" measure="1" displayFolder="" measureGroup="TB_Venda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Total]" caption="Contagem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Qtd 2]" caption="Soma de Qtd 2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Preço Unitário 2]" caption="Soma de Preço Unitário 2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Desconto Final]" caption="Soma de Desconto Final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Total 2]" caption="Soma de Total 2" measure="1" displayFolder="" measureGroup="tb_vendas_hi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5">
    <dimension name="Intervalo" uniqueName="[Intervalo]" caption="Intervalo"/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as_hist" uniqueName="[tb_vendas_hist]" caption="tb_vendas_hist"/>
  </dimensions>
  <measureGroups count="4">
    <measureGroup name="Intervalo" caption="Intervalo"/>
    <measureGroup name="TB_Produtos" caption="TB_Produtos"/>
    <measureGroup name="TB_Vendas" caption="TB_Vendas"/>
    <measureGroup name="tb_vendas_hist" caption="tb_vendas_hist"/>
  </measureGroups>
  <maps count="8">
    <map measureGroup="0" dimension="0"/>
    <map measureGroup="1" dimension="2"/>
    <map measureGroup="2" dimension="0"/>
    <map measureGroup="2" dimension="2"/>
    <map measureGroup="2" dimension="3"/>
    <map measureGroup="3" dimension="0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Thierry-G15" refreshedDate="46179.954853819443" backgroundQuery="1" createdVersion="8" refreshedVersion="8" minRefreshableVersion="3" recordCount="0" supportSubquery="1" supportAdvancedDrill="1" xr:uid="{55A3E084-71DB-4B19-A1FF-388B7C281158}">
  <cacheSource type="external" connectionId="2"/>
  <cacheFields count="2">
    <cacheField name="[tb_vendas_hist].[Categoria].[Categoria]" caption="Categoria" numFmtId="0" hierarchy="26" level="1">
      <sharedItems count="3">
        <s v="Acessórios"/>
        <s v="Calçado"/>
        <s v="Vestuário"/>
      </sharedItems>
    </cacheField>
    <cacheField name="[Measures].[Soma de Total 2]" caption="Soma de Total 2" numFmtId="0" hierarchy="53" level="32767"/>
  </cacheFields>
  <cacheHierarchies count="54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0" memberValueDatatype="130" unbalanced="0"/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as_hist].[Data]" caption="Data" attribute="1" time="1" defaultMemberUniqueName="[tb_vendas_hist].[Data].[All]" allUniqueName="[tb_vendas_hist].[Data].[All]" dimensionUniqueName="[tb_vendas_hist]" displayFolder="" count="0" memberValueDatatype="7" unbalanced="0"/>
    <cacheHierarchy uniqueName="[tb_vendas_hist].[Código]" caption="Código" attribute="1" defaultMemberUniqueName="[tb_vendas_hist].[Código].[All]" allUniqueName="[tb_vendas_hist].[Código].[All]" dimensionUniqueName="[tb_vendas_hist]" displayFolder="" count="0" memberValueDatatype="130" unbalanced="0"/>
    <cacheHierarchy uniqueName="[tb_vendas_hist].[Categoria]" caption="Categoria" attribute="1" defaultMemberUniqueName="[tb_vendas_hist].[Categoria].[All]" allUniqueName="[tb_vendas_hist].[Categoria].[All]" dimensionUniqueName="[tb_vendas_hist]" displayFolder="" count="2" memberValueDatatype="130" unbalanced="0">
      <fieldsUsage count="2">
        <fieldUsage x="-1"/>
        <fieldUsage x="0"/>
      </fieldsUsage>
    </cacheHierarchy>
    <cacheHierarchy uniqueName="[tb_vendas_hist].[Qtd]" caption="Qtd" attribute="1" defaultMemberUniqueName="[tb_vendas_hist].[Qtd].[All]" allUniqueName="[tb_vendas_hist].[Qtd].[All]" dimensionUniqueName="[tb_vendas_hist]" displayFolder="" count="0" memberValueDatatype="20" unbalanced="0"/>
    <cacheHierarchy uniqueName="[tb_vendas_hist].[Preço Unitário]" caption="Preço Unitário" attribute="1" defaultMemberUniqueName="[tb_vendas_hist].[Preço Unitário].[All]" allUniqueName="[tb_vendas_hist].[Preço Unitário].[All]" dimensionUniqueName="[tb_vendas_hist]" displayFolder="" count="0" memberValueDatatype="5" unbalanced="0"/>
    <cacheHierarchy uniqueName="[tb_vendas_hist].[Desconto Final]" caption="Desconto Final" attribute="1" defaultMemberUniqueName="[tb_vendas_hist].[Desconto Final].[All]" allUniqueName="[tb_vendas_hist].[Desconto Final].[All]" dimensionUniqueName="[tb_vendas_hist]" displayFolder="" count="0" memberValueDatatype="5" unbalanced="0"/>
    <cacheHierarchy uniqueName="[tb_vendas_hist].[Total]" caption="Total" attribute="1" defaultMemberUniqueName="[tb_vendas_hist].[Total].[All]" allUniqueName="[tb_vendas_hist].[Total].[All]" dimensionUniqueName="[tb_vendas_hist]" displayFolder="" count="0" memberValueDatatype="5" unbalanced="0"/>
    <cacheHierarchy uniqueName="[tb_vendas_hist].[Vendedor]" caption="Vendedor" attribute="1" defaultMemberUniqueName="[tb_vendas_hist].[Vendedor].[All]" allUniqueName="[tb_vendas_hist].[Vendedor].[All]" dimensionUniqueName="[tb_vendas_hist]" displayFolder="" count="0" memberValueDatatype="130" unbalanced="0"/>
    <cacheHierarchy uniqueName="[tb_vendas_hist].[Data (Ano)]" caption="Data (Ano)" attribute="1" defaultMemberUniqueName="[tb_vendas_hist].[Data (Ano)].[All]" allUniqueName="[tb_vendas_hist].[Data (Ano)].[All]" dimensionUniqueName="[tb_vendas_hist]" displayFolder="" count="0" memberValueDatatype="130" unbalanced="0"/>
    <cacheHierarchy uniqueName="[tb_vendas_hist].[Data (Trimestre)]" caption="Data (Trimestre)" attribute="1" defaultMemberUniqueName="[tb_vendas_hist].[Data (Trimestre)].[All]" allUniqueName="[tb_vendas_hist].[Data (Trimestre)].[All]" dimensionUniqueName="[tb_vendas_hist]" displayFolder="" count="0" memberValueDatatype="130" unbalanced="0"/>
    <cacheHierarchy uniqueName="[tb_vendas_hist].[Data (Mês)]" caption="Data (Mês)" attribute="1" defaultMemberUniqueName="[tb_vendas_hist].[Data (Mês)].[All]" allUniqueName="[tb_vendas_hist].[Data (Mês)].[All]" dimensionUniqueName="[tb_vendas_hist]" displayFolder="" count="0" memberValueDatatype="130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tb_vendas_hist].[Data (Índice de Mês)]" caption="Data (Índice de Mês)" attribute="1" defaultMemberUniqueName="[tb_vendas_hist].[Data (Índice de Mês)].[All]" allUniqueName="[tb_vendas_hist].[Data (Índice de Mês)].[All]" dimensionUniqueName="[tb_vendas_hist]" displayFolder="" count="0" memberValueDatatype="20" unbalanced="0" hidden="1"/>
    <cacheHierarchy uniqueName="[Measures].[Soma de Vendas]" caption="Soma de Vendas" measure="1" displayFolder="" measureGroup="TB_Vendas" count="0"/>
    <cacheHierarchy uniqueName="[Measures].[Vendas Totais]" caption="Vendas Totais" measure="1" displayFolder="" measureGroup="TB_Vendas" count="0"/>
    <cacheHierarchy uniqueName="[Measures].[% Categoria]" caption="% Categoria" measure="1" displayFolder="" measureGroup="TB_Vendas" count="0"/>
    <cacheHierarchy uniqueName="[Measures].[% Restante]" caption="% Restante" measure="1" displayFolder="" measureGroup="TB_Vendas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XL_Count tb_vendas_hist]" caption="__XL_Count tb_vendas_hist" measure="1" displayFolder="" measureGroup="tb_vendas_hist" count="0" hidden="1"/>
    <cacheHierarchy uniqueName="[Measures].[__No measures defined]" caption="__No measures defined" measure="1" displayFolder="" count="0" hidden="1"/>
    <cacheHierarchy uniqueName="[Measures].[Soma de Qtd]" caption="Soma de Qtd" measure="1" displayFolder="" measureGroup="TB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]" caption="Soma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Preço Unitário]" caption="Soma de Preço Unitário" measure="1" displayFolder="" measureGroup="TB_Venda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Total]" caption="Contagem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Qtd 2]" caption="Soma de Qtd 2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Preço Unitário 2]" caption="Soma de Preço Unitário 2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Desconto Final]" caption="Soma de Desconto Final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Total 2]" caption="Soma de Total 2" measure="1" displayFolder="" measureGroup="tb_vendas_hi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5">
    <dimension name="Intervalo" uniqueName="[Intervalo]" caption="Intervalo"/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as_hist" uniqueName="[tb_vendas_hist]" caption="tb_vendas_hist"/>
  </dimensions>
  <measureGroups count="4">
    <measureGroup name="Intervalo" caption="Intervalo"/>
    <measureGroup name="TB_Produtos" caption="TB_Produtos"/>
    <measureGroup name="TB_Vendas" caption="TB_Vendas"/>
    <measureGroup name="tb_vendas_hist" caption="tb_vendas_hist"/>
  </measureGroups>
  <maps count="8">
    <map measureGroup="0" dimension="0"/>
    <map measureGroup="1" dimension="2"/>
    <map measureGroup="2" dimension="0"/>
    <map measureGroup="2" dimension="2"/>
    <map measureGroup="2" dimension="3"/>
    <map measureGroup="3" dimension="0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79.949548611112" backgroundQuery="1" createdVersion="3" refreshedVersion="8" minRefreshableVersion="3" recordCount="0" supportSubquery="1" supportAdvancedDrill="1" xr:uid="{B9672CE0-F1E6-4F6C-B361-3D598ADFD87D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4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0" memberValueDatatype="130" unbalanced="0"/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as_hist].[Data]" caption="Data" attribute="1" time="1" defaultMemberUniqueName="[tb_vendas_hist].[Data].[All]" allUniqueName="[tb_vendas_hist].[Data].[All]" dimensionUniqueName="[tb_vendas_hist]" displayFolder="" count="2" memberValueDatatype="7" unbalanced="0"/>
    <cacheHierarchy uniqueName="[tb_vendas_hist].[Código]" caption="Código" attribute="1" defaultMemberUniqueName="[tb_vendas_hist].[Código].[All]" allUniqueName="[tb_vendas_hist].[Código].[All]" dimensionUniqueName="[tb_vendas_hist]" displayFolder="" count="0" memberValueDatatype="130" unbalanced="0"/>
    <cacheHierarchy uniqueName="[tb_vendas_hist].[Categoria]" caption="Categoria" attribute="1" defaultMemberUniqueName="[tb_vendas_hist].[Categoria].[All]" allUniqueName="[tb_vendas_hist].[Categoria].[All]" dimensionUniqueName="[tb_vendas_hist]" displayFolder="" count="0" memberValueDatatype="130" unbalanced="0"/>
    <cacheHierarchy uniqueName="[tb_vendas_hist].[Qtd]" caption="Qtd" attribute="1" defaultMemberUniqueName="[tb_vendas_hist].[Qtd].[All]" allUniqueName="[tb_vendas_hist].[Qtd].[All]" dimensionUniqueName="[tb_vendas_hist]" displayFolder="" count="0" memberValueDatatype="20" unbalanced="0"/>
    <cacheHierarchy uniqueName="[tb_vendas_hist].[Preço Unitário]" caption="Preço Unitário" attribute="1" defaultMemberUniqueName="[tb_vendas_hist].[Preço Unitário].[All]" allUniqueName="[tb_vendas_hist].[Preço Unitário].[All]" dimensionUniqueName="[tb_vendas_hist]" displayFolder="" count="0" memberValueDatatype="5" unbalanced="0"/>
    <cacheHierarchy uniqueName="[tb_vendas_hist].[Desconto Final]" caption="Desconto Final" attribute="1" defaultMemberUniqueName="[tb_vendas_hist].[Desconto Final].[All]" allUniqueName="[tb_vendas_hist].[Desconto Final].[All]" dimensionUniqueName="[tb_vendas_hist]" displayFolder="" count="0" memberValueDatatype="5" unbalanced="0"/>
    <cacheHierarchy uniqueName="[tb_vendas_hist].[Total]" caption="Total" attribute="1" defaultMemberUniqueName="[tb_vendas_hist].[Total].[All]" allUniqueName="[tb_vendas_hist].[Total].[All]" dimensionUniqueName="[tb_vendas_hist]" displayFolder="" count="0" memberValueDatatype="5" unbalanced="0"/>
    <cacheHierarchy uniqueName="[tb_vendas_hist].[Vendedor]" caption="Vendedor" attribute="1" defaultMemberUniqueName="[tb_vendas_hist].[Vendedor].[All]" allUniqueName="[tb_vendas_hist].[Vendedor].[All]" dimensionUniqueName="[tb_vendas_hist]" displayFolder="" count="0" memberValueDatatype="130" unbalanced="0"/>
    <cacheHierarchy uniqueName="[tb_vendas_hist].[Data (Ano)]" caption="Data (Ano)" attribute="1" defaultMemberUniqueName="[tb_vendas_hist].[Data (Ano)].[All]" allUniqueName="[tb_vendas_hist].[Data (Ano)].[All]" dimensionUniqueName="[tb_vendas_hist]" displayFolder="" count="0" memberValueDatatype="130" unbalanced="0"/>
    <cacheHierarchy uniqueName="[tb_vendas_hist].[Data (Trimestre)]" caption="Data (Trimestre)" attribute="1" defaultMemberUniqueName="[tb_vendas_hist].[Data (Trimestre)].[All]" allUniqueName="[tb_vendas_hist].[Data (Trimestre)].[All]" dimensionUniqueName="[tb_vendas_hist]" displayFolder="" count="0" memberValueDatatype="130" unbalanced="0"/>
    <cacheHierarchy uniqueName="[tb_vendas_hist].[Data (Mês)]" caption="Data (Mês)" attribute="1" defaultMemberUniqueName="[tb_vendas_hist].[Data (Mês)].[All]" allUniqueName="[tb_vendas_hist].[Data (Mês)].[All]" dimensionUniqueName="[tb_vendas_hist]" displayFolder="" count="0" memberValueDatatype="130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tb_vendas_hist].[Data (Índice de Mês)]" caption="Data (Índice de Mês)" attribute="1" defaultMemberUniqueName="[tb_vendas_hist].[Data (Índice de Mês)].[All]" allUniqueName="[tb_vendas_hist].[Data (Índice de Mês)].[All]" dimensionUniqueName="[tb_vendas_hist]" displayFolder="" count="0" memberValueDatatype="20" unbalanced="0" hidden="1"/>
    <cacheHierarchy uniqueName="[Measures].[Soma de Vendas]" caption="Soma de Vendas" measure="1" displayFolder="" measureGroup="TB_Vendas" count="0"/>
    <cacheHierarchy uniqueName="[Measures].[Vendas Totais]" caption="Vendas Totais" measure="1" displayFolder="" measureGroup="TB_Vendas" count="0"/>
    <cacheHierarchy uniqueName="[Measures].[% Categoria]" caption="% Categoria" measure="1" displayFolder="" measureGroup="TB_Vendas" count="0"/>
    <cacheHierarchy uniqueName="[Measures].[% Restante]" caption="% Restante" measure="1" displayFolder="" measureGroup="TB_Vendas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XL_Count tb_vendas_hist]" caption="__XL_Count tb_vendas_hist" measure="1" displayFolder="" measureGroup="tb_vendas_hist" count="0" hidden="1"/>
    <cacheHierarchy uniqueName="[Measures].[__No measures defined]" caption="__No measures defined" measure="1" displayFolder="" count="0" hidden="1"/>
    <cacheHierarchy uniqueName="[Measures].[Soma de Qtd]" caption="Soma de Qtd" measure="1" displayFolder="" measureGroup="TB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]" caption="Soma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Preço Unitário]" caption="Soma de Preço Unitário" measure="1" displayFolder="" measureGroup="TB_Venda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Total]" caption="Contagem de Total" measure="1" displayFolder="" measureGroup="TB_Venda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Qtd 2]" caption="Soma de Qtd 2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Preço Unitário 2]" caption="Soma de Preço Unitário 2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Desconto Final]" caption="Soma de Desconto Final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Total 2]" caption="Soma de Total 2" measure="1" displayFolder="" measureGroup="tb_vendas_his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49652105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PR001"/>
    <x v="0"/>
    <s v="P"/>
    <x v="0"/>
    <n v="48"/>
    <n v="65.900000000000006"/>
  </r>
  <r>
    <s v="PR002"/>
    <x v="0"/>
    <s v="M"/>
    <x v="0"/>
    <n v="17"/>
    <n v="69.900000000000006"/>
  </r>
  <r>
    <s v="PR003"/>
    <x v="0"/>
    <s v="G"/>
    <x v="0"/>
    <n v="25"/>
    <n v="70.900000000000006"/>
  </r>
  <r>
    <s v="PR004"/>
    <x v="1"/>
    <s v="Único"/>
    <x v="1"/>
    <n v="36"/>
    <n v="145"/>
  </r>
  <r>
    <s v="PR005"/>
    <x v="2"/>
    <s v="Único"/>
    <x v="1"/>
    <n v="21"/>
    <n v="259.89999999999998"/>
  </r>
  <r>
    <s v="PR006"/>
    <x v="3"/>
    <s v="Único"/>
    <x v="1"/>
    <n v="23"/>
    <n v="39.9"/>
  </r>
  <r>
    <s v="PR007"/>
    <x v="4"/>
    <s v="P"/>
    <x v="0"/>
    <n v="24"/>
    <n v="85.9"/>
  </r>
  <r>
    <s v="PR008"/>
    <x v="4"/>
    <s v="M"/>
    <x v="0"/>
    <n v="35"/>
    <n v="89.9"/>
  </r>
  <r>
    <s v="PR009"/>
    <x v="4"/>
    <s v="G"/>
    <x v="0"/>
    <n v="47"/>
    <n v="92.9"/>
  </r>
  <r>
    <s v="PR010"/>
    <x v="5"/>
    <s v="P"/>
    <x v="0"/>
    <n v="42"/>
    <n v="44.9"/>
  </r>
  <r>
    <s v="PR011"/>
    <x v="5"/>
    <s v="M"/>
    <x v="0"/>
    <n v="32"/>
    <n v="46.9"/>
  </r>
  <r>
    <s v="PR012"/>
    <x v="5"/>
    <s v="G"/>
    <x v="0"/>
    <n v="45"/>
    <n v="48.9"/>
  </r>
  <r>
    <s v="PR013"/>
    <x v="6"/>
    <s v="P"/>
    <x v="0"/>
    <n v="19"/>
    <n v="39.9"/>
  </r>
  <r>
    <s v="PR014"/>
    <x v="6"/>
    <s v="M"/>
    <x v="0"/>
    <n v="37"/>
    <n v="39.9"/>
  </r>
  <r>
    <s v="PR015"/>
    <x v="6"/>
    <s v="G"/>
    <x v="0"/>
    <n v="16"/>
    <n v="42.5"/>
  </r>
  <r>
    <s v="PR016"/>
    <x v="7"/>
    <s v="P"/>
    <x v="0"/>
    <n v="43"/>
    <n v="25.9"/>
  </r>
  <r>
    <s v="PR017"/>
    <x v="8"/>
    <s v="M"/>
    <x v="0"/>
    <n v="46"/>
    <n v="29.9"/>
  </r>
  <r>
    <s v="PR018"/>
    <x v="8"/>
    <s v="G"/>
    <x v="0"/>
    <n v="0"/>
    <n v="32.9"/>
  </r>
  <r>
    <s v="PR019"/>
    <x v="9"/>
    <s v="Único"/>
    <x v="1"/>
    <n v="2"/>
    <n v="49.9"/>
  </r>
  <r>
    <s v="PR020"/>
    <x v="10"/>
    <s v="P"/>
    <x v="0"/>
    <n v="34"/>
    <n v="299.89999999999998"/>
  </r>
  <r>
    <s v="PR021"/>
    <x v="10"/>
    <s v="M"/>
    <x v="0"/>
    <n v="34"/>
    <n v="302.89999999999998"/>
  </r>
  <r>
    <s v="PR022"/>
    <x v="10"/>
    <s v="G"/>
    <x v="0"/>
    <n v="35"/>
    <n v="300"/>
  </r>
  <r>
    <s v="PR023"/>
    <x v="11"/>
    <s v="P"/>
    <x v="0"/>
    <n v="49"/>
    <n v="249.9"/>
  </r>
  <r>
    <s v="PR024"/>
    <x v="11"/>
    <s v="M"/>
    <x v="0"/>
    <n v="16"/>
    <n v="259.89999999999998"/>
  </r>
  <r>
    <s v="PR025"/>
    <x v="11"/>
    <s v="G"/>
    <x v="0"/>
    <n v="41"/>
    <n v="299.89999999999998"/>
  </r>
  <r>
    <s v="PR026"/>
    <x v="12"/>
    <s v="Único"/>
    <x v="1"/>
    <n v="32"/>
    <n v="349.9"/>
  </r>
  <r>
    <s v="PR027"/>
    <x v="13"/>
    <s v="Único"/>
    <x v="1"/>
    <n v="45"/>
    <n v="120"/>
  </r>
  <r>
    <s v="PR028"/>
    <x v="14"/>
    <n v="36"/>
    <x v="2"/>
    <n v="37"/>
    <n v="249.9"/>
  </r>
  <r>
    <s v="PR029"/>
    <x v="14"/>
    <n v="37"/>
    <x v="2"/>
    <n v="41"/>
    <n v="255"/>
  </r>
  <r>
    <s v="PR030"/>
    <x v="14"/>
    <n v="38"/>
    <x v="2"/>
    <n v="30"/>
    <n v="259.89999999999998"/>
  </r>
  <r>
    <s v="PR031"/>
    <x v="15"/>
    <n v="36"/>
    <x v="2"/>
    <n v="27"/>
    <n v="245"/>
  </r>
  <r>
    <s v="PR032"/>
    <x v="15"/>
    <n v="37"/>
    <x v="2"/>
    <n v="41"/>
    <n v="250"/>
  </r>
  <r>
    <s v="PR033"/>
    <x v="15"/>
    <n v="38"/>
    <x v="2"/>
    <n v="43"/>
    <n v="259.89999999999998"/>
  </r>
  <r>
    <s v="PR034"/>
    <x v="16"/>
    <s v="P"/>
    <x v="0"/>
    <n v="43"/>
    <n v="89.9"/>
  </r>
  <r>
    <s v="PR035"/>
    <x v="16"/>
    <s v="M"/>
    <x v="0"/>
    <n v="18"/>
    <n v="91.4"/>
  </r>
  <r>
    <s v="PR036"/>
    <x v="16"/>
    <s v="G"/>
    <x v="0"/>
    <n v="45"/>
    <n v="93.5"/>
  </r>
  <r>
    <s v="PR037"/>
    <x v="17"/>
    <s v="P"/>
    <x v="0"/>
    <n v="34"/>
    <n v="140"/>
  </r>
  <r>
    <s v="PR038"/>
    <x v="17"/>
    <s v="M"/>
    <x v="0"/>
    <n v="47"/>
    <n v="142.9"/>
  </r>
  <r>
    <s v="PR039"/>
    <x v="17"/>
    <s v="G"/>
    <x v="0"/>
    <n v="50"/>
    <n v="146"/>
  </r>
  <r>
    <s v="PR040"/>
    <x v="18"/>
    <s v="P"/>
    <x v="0"/>
    <n v="16"/>
    <n v="70"/>
  </r>
  <r>
    <s v="PR041"/>
    <x v="18"/>
    <s v="M"/>
    <x v="0"/>
    <n v="21"/>
    <n v="54.9"/>
  </r>
  <r>
    <s v="PR042"/>
    <x v="18"/>
    <s v="G"/>
    <x v="0"/>
    <n v="43"/>
    <n v="54.9"/>
  </r>
  <r>
    <s v="PR043"/>
    <x v="19"/>
    <s v="P"/>
    <x v="0"/>
    <n v="43"/>
    <n v="72.5"/>
  </r>
  <r>
    <s v="PR044"/>
    <x v="19"/>
    <s v="M"/>
    <x v="0"/>
    <n v="41"/>
    <n v="72.5"/>
  </r>
  <r>
    <s v="PR045"/>
    <x v="19"/>
    <s v="G"/>
    <x v="0"/>
    <n v="49"/>
    <n v="72.5"/>
  </r>
  <r>
    <s v="PR046"/>
    <x v="20"/>
    <s v="P"/>
    <x v="0"/>
    <n v="15"/>
    <n v="289.89999999999998"/>
  </r>
  <r>
    <s v="PR047"/>
    <x v="20"/>
    <s v="M"/>
    <x v="0"/>
    <n v="10"/>
    <n v="289.89999999999998"/>
  </r>
  <r>
    <s v="PR048"/>
    <x v="20"/>
    <s v="G"/>
    <x v="0"/>
    <n v="21"/>
    <n v="289.89999999999998"/>
  </r>
  <r>
    <s v="PR049"/>
    <x v="21"/>
    <s v="P"/>
    <x v="0"/>
    <n v="8"/>
    <n v="32.9"/>
  </r>
  <r>
    <s v="PR050"/>
    <x v="21"/>
    <s v="M"/>
    <x v="0"/>
    <n v="42"/>
    <n v="32.9"/>
  </r>
  <r>
    <s v="PR051"/>
    <x v="21"/>
    <s v="G"/>
    <x v="0"/>
    <n v="48"/>
    <n v="32.9"/>
  </r>
  <r>
    <s v="PR052"/>
    <x v="22"/>
    <s v="P"/>
    <x v="0"/>
    <n v="35"/>
    <n v="49.9"/>
  </r>
  <r>
    <s v="PR053"/>
    <x v="22"/>
    <s v="M"/>
    <x v="0"/>
    <n v="40"/>
    <n v="49.9"/>
  </r>
  <r>
    <s v="PR054"/>
    <x v="22"/>
    <s v="G"/>
    <x v="0"/>
    <n v="18"/>
    <n v="49.9"/>
  </r>
  <r>
    <s v="PR055"/>
    <x v="23"/>
    <n v="35"/>
    <x v="2"/>
    <n v="48"/>
    <n v="89.9"/>
  </r>
  <r>
    <s v="PR056"/>
    <x v="23"/>
    <n v="36"/>
    <x v="2"/>
    <n v="38"/>
    <n v="89.9"/>
  </r>
  <r>
    <s v="PR057"/>
    <x v="23"/>
    <n v="37"/>
    <x v="2"/>
    <n v="45"/>
    <n v="89.9"/>
  </r>
  <r>
    <s v="PR058"/>
    <x v="24"/>
    <s v="P"/>
    <x v="0"/>
    <n v="40"/>
    <n v="180"/>
  </r>
  <r>
    <s v="PR059"/>
    <x v="24"/>
    <s v="M"/>
    <x v="0"/>
    <n v="35"/>
    <n v="180"/>
  </r>
  <r>
    <s v="PR060"/>
    <x v="24"/>
    <s v="G"/>
    <x v="0"/>
    <n v="35"/>
    <n v="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1D4D6-EC7E-41FB-9BE7-871549680160}" name="Tabela dinâmica3" cacheId="387" applyNumberFormats="0" applyBorderFormats="0" applyFontFormats="0" applyPatternFormats="0" applyAlignmentFormats="0" applyWidthHeightFormats="1" dataCaption="Valores" tag="d39a8c54-1c15-49bf-afff-5105171a6103" updatedVersion="8" minRefreshableVersion="3" useAutoFormatting="1" subtotalHiddenItems="1" itemPrintTitles="1" createdVersion="8" indent="0" outline="1" outlineData="1" multipleFieldFilters="0">
  <location ref="H3:I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" fld="1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as_h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2331F-FD8E-45DC-A0B7-AA8588382752}" name="TBDN_VENDEDOR_RANKING_HIST" cacheId="370" applyNumberFormats="0" applyBorderFormats="0" applyFontFormats="0" applyPatternFormats="0" applyAlignmentFormats="0" applyWidthHeightFormats="1" dataCaption="Valores" tag="0f61099c-0c6d-4b9f-a545-6a61b8698776" updatedVersion="8" minRefreshableVersion="5" useAutoFormatting="1" itemPrintTitles="1" createdVersion="8" indent="0" outline="1" outlineData="1" multipleFieldFilters="0" chartFormat="3">
  <location ref="E3:F9" firstHeaderRow="1" firstDataRow="1" firstDataCol="1"/>
  <pivotFields count="2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Total" fld="1" baseField="0" baseItem="0" numFmtId="44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tervalo]"/>
        <x15:activeTabTopLevelEntity name="[tb_vendas_h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181B8-D480-4E22-AE0B-7000EC0327F5}" name="TBDN_HIS_VENDAS" cacheId="367" applyNumberFormats="0" applyBorderFormats="0" applyFontFormats="0" applyPatternFormats="0" applyAlignmentFormats="0" applyWidthHeightFormats="1" dataCaption="Valores" tag="1d803f47-1978-412a-8b31-37b849fe818b" updatedVersion="8" minRefreshableVersion="5" useAutoFormatting="1" subtotalHiddenItems="1" itemPrintTitles="1" createdVersion="8" indent="0" outline="1" outlineData="1" multipleFieldFilters="0" chartFormat="3">
  <location ref="A3:C16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td" fld="0" baseField="2" baseItem="0" numFmtId="44"/>
    <dataField name="Soma de Total" fld="1" baseField="2" baseItem="1" numFmtId="44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eteora Ecommerce - FINAL AULA 4.xlsx!tb_vendas_hist">
        <x15:activeTabTopLevelEntity name="[tb_vendas_h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AC2DB-9D34-4C73-9C17-69E49E83318C}" name="TBDN_Produto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C7" firstHeaderRow="0" firstDataRow="1" firstDataCol="1"/>
  <pivotFields count="6">
    <pivotField showAll="0"/>
    <pivotField axis="axisRow" showAll="0">
      <items count="27">
        <item x="0"/>
        <item x="1"/>
        <item x="2"/>
        <item x="3"/>
        <item x="24"/>
        <item x="4"/>
        <item x="5"/>
        <item x="18"/>
        <item x="6"/>
        <item x="7"/>
        <item x="8"/>
        <item x="21"/>
        <item x="9"/>
        <item x="10"/>
        <item x="20"/>
        <item x="11"/>
        <item x="12"/>
        <item x="13"/>
        <item x="22"/>
        <item x="23"/>
        <item x="14"/>
        <item x="15"/>
        <item x="16"/>
        <item x="19"/>
        <item x="17"/>
        <item m="1" x="25"/>
        <item t="default"/>
      </items>
    </pivotField>
    <pivotField showAll="0"/>
    <pivotField axis="axisRow" showAll="0">
      <items count="5">
        <item sd="0" x="0"/>
        <item sd="0" x="1"/>
        <item sd="0" x="2"/>
        <item sd="0" m="1" x="3"/>
        <item t="default"/>
      </items>
    </pivotField>
    <pivotField dataField="1" showAll="0"/>
    <pivotField dataField="1" showAll="0"/>
  </pivotFields>
  <rowFields count="2">
    <field x="3"/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Estoque" fld="4" baseField="0" baseItem="0"/>
    <dataField name="Soma de Preço Unitário" fld="5" baseField="3" baseItem="0" numFmtId="165"/>
  </dataFields>
  <formats count="4">
    <format dxfId="6">
      <pivotArea collapsedLevelsAreSubtotals="1" fieldPosition="0">
        <references count="1">
          <reference field="3" count="0"/>
        </references>
      </pivotArea>
    </format>
    <format dxfId="5">
      <pivotArea dataOnly="0" labelOnly="1" fieldPosition="0">
        <references count="1">
          <reference field="3" count="0"/>
        </references>
      </pivotArea>
    </format>
    <format dxfId="4">
      <pivotArea outline="0" fieldPosition="0">
        <references count="1">
          <reference field="4294967294" count="1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F4437-D742-4009-A878-93CE27DC09F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7" firstHeaderRow="1" firstDataRow="1" firstDataCol="1"/>
  <pivotFields count="6">
    <pivotField showAll="0"/>
    <pivotField dataField="1" showAll="0"/>
    <pivotField showAll="0"/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roduto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68F15-E3BC-4894-A1CF-6457309BCFD3}" name="Tabela dinâmica2" cacheId="67" dataPosition="0" applyNumberFormats="0" applyBorderFormats="0" applyFontFormats="0" applyPatternFormats="0" applyAlignmentFormats="0" applyWidthHeightFormats="1" dataCaption="Valores" tag="c3573571-e117-4642-8ccd-b311d841ec66" updatedVersion="8" minRefreshableVersion="3" useAutoFormatting="1" itemPrintTitles="1" createdVersion="8" indent="0" outline="1" outlineData="1" multipleFieldFilters="0" chartFormat="8">
  <location ref="E3:H7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name="Soma de Total" fld="3" baseField="0" baseItem="1" numFmtId="165"/>
  </dataFields>
  <formats count="2">
    <format dxfId="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060B4-2C19-4088-9834-1C848FA891D0}" name="TBDN_Vendas" cacheId="68" applyNumberFormats="0" applyBorderFormats="0" applyFontFormats="0" applyPatternFormats="0" applyAlignmentFormats="0" applyWidthHeightFormats="1" dataCaption="Valores" tag="bc3dc771-d3ba-40d4-8642-502c32103ea2" updatedVersion="8" minRefreshableVersion="5" useAutoFormatting="1" itemPrintTitles="1" createdVersion="8" indent="0" outline="1" outlineData="1" multipleFieldFilters="0" chartFormat="5">
  <location ref="A3:C12" firstHeaderRow="0" firstDataRow="1" firstDataCol="1"/>
  <pivotFields count="4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" fld="2" baseField="0" baseItem="7" numFmtId="165"/>
    <dataField name="Soma de Qtd" fld="1" baseField="0" baseItem="0"/>
  </dataField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oma de Total"/>
    <pivotHierarchy dragToData="1"/>
    <pivotHierarchy dragToData="1" caption="Contagem de Total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4" name="[TB_Vendas].[Data]">
      <autoFilter ref="A1">
        <filterColumn colId="0">
          <customFilters and="1">
            <customFilter operator="greaterThanOrEqual" val="45017"/>
            <customFilter operator="lessThanOrEqual" val="451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as]"/>
        <x15:activeTabTopLevelEntity name="[TB_Produ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40815-5721-4616-88CA-FF2DD5A3FF15}" name="TBDN_Vendedores" cacheId="321" applyNumberFormats="0" applyBorderFormats="0" applyFontFormats="0" applyPatternFormats="0" applyAlignmentFormats="0" applyWidthHeightFormats="1" dataCaption="Valores" tag="dcf589ae-5672-4650-a21a-b4d454948888" updatedVersion="8" minRefreshableVersion="3" itemPrintTitles="1" createdVersion="8" indent="0" outline="1" outlineData="1" multipleFieldFilters="0" chartFormat="7">
  <location ref="A3:B9" firstHeaderRow="1" firstDataRow="1" firstDataCol="1"/>
  <pivotFields count="2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 v="1"/>
    </i>
    <i>
      <x/>
    </i>
    <i>
      <x v="4"/>
    </i>
    <i>
      <x v="3"/>
    </i>
    <i t="grand">
      <x/>
    </i>
  </rowItems>
  <colItems count="1">
    <i/>
  </colItems>
  <dataFields count="1">
    <dataField name="Soma de Total" fld="1" baseField="0" baseItem="2" numFmtId="165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tervalo]"/>
        <x15:activeTabTopLevelEntity name="[TB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F844591-4483-4949-866A-C199888C8EBC}" autoFormatId="16" applyNumberFormats="0" applyBorderFormats="0" applyFontFormats="0" applyPatternFormats="0" applyAlignmentFormats="0" applyWidthHeightFormats="0">
  <queryTableRefresh nextId="9">
    <queryTableFields count="8">
      <queryTableField id="1" name="Data" tableColumnId="1"/>
      <queryTableField id="2" name="Código" tableColumnId="2"/>
      <queryTableField id="3" name="Categoria" tableColumnId="3"/>
      <queryTableField id="4" name="Qtd" tableColumnId="4"/>
      <queryTableField id="5" name="Preço Unitário" tableColumnId="5"/>
      <queryTableField id="6" name="Desconto Final" tableColumnId="6"/>
      <queryTableField id="7" name="Total" tableColumnId="7"/>
      <queryTableField id="8" name="Vendedor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1" xr10:uid="{54E26E9F-7892-4ED2-B74F-11910F4F3CC5}" sourceName="Categoria">
  <pivotTables>
    <pivotTable tabId="35" name="TBDN_Produtos"/>
    <pivotTable tabId="35" name="Tabela dinâmica3"/>
  </pivotTables>
  <data>
    <tabular pivotCacheId="188848658">
      <items count="4">
        <i x="0" s="1"/>
        <i x="1" s="1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6404326A-D211-4EA3-8165-FC1463C7F321}" cache="SegmentaçãodeDados_Categoria1" caption="Categoria" columnCount="3" style="SlicerStyleLight6" rowHeight="241300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B6:G66" totalsRowShown="0" headerRowDxfId="30">
  <autoFilter ref="B6:G66" xr:uid="{40AC111B-A369-4C0B-9503-7C5B9442D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8ED5FF-48A1-488E-9DF1-FE060F71A415}" name="Código" dataDxfId="29"/>
    <tableColumn id="2" xr3:uid="{E100D4E2-C3A0-43FF-A1D9-90A4BC2A9918}" name="Produtos"/>
    <tableColumn id="3" xr3:uid="{2EF7FEE0-6B6F-4534-86A0-46B6555B7BEF}" name="Tamanho" dataDxfId="28"/>
    <tableColumn id="4" xr3:uid="{4435A4B8-E7F0-4D66-A4F8-6A9FEAA36D5A}" name="Categoria"/>
    <tableColumn id="6" xr3:uid="{15F9CACC-A558-4A20-80CF-C2ADA2603221}" name="Estoque" dataDxfId="27"/>
    <tableColumn id="5" xr3:uid="{CA8AD0DE-58EC-4839-85FB-1DD75DA28087}" name="Preço Unitário" dataDxfId="2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4:M86" totalsRowShown="0" headerRowDxfId="25" dataDxfId="24" headerRowCellStyle="Cabeçalho Meteora">
  <autoFilter ref="A4:M86" xr:uid="{AD739091-30BD-4C30-BDDA-7504C0C4B6E2}"/>
  <tableColumns count="13">
    <tableColumn id="7" xr3:uid="{5E8DE7C3-CDB6-4314-A5CC-C44D3C21973F}" name="Nº" dataDxfId="23">
      <calculatedColumnFormula>MONTH(TB_Vendas[[#This Row],[Data]])</calculatedColumnFormula>
    </tableColumn>
    <tableColumn id="1" xr3:uid="{43632F1F-6978-4CE7-BB13-7CCE587D6821}" name="Data" dataDxfId="22"/>
    <tableColumn id="12" xr3:uid="{205A55AB-454E-4288-AE23-042C3C399E7A}" name="Código" dataDxfId="21"/>
    <tableColumn id="16" xr3:uid="{059789B1-50A2-47F3-849D-D1EE26B94731}" name="Categoria" dataDxfId="20">
      <calculatedColumnFormula>_xlfn.XLOOKUP(TB_Vendas[[#This Row],[Código]],TB_Produtos[Código],TB_Produtos[Categoria])</calculatedColumnFormula>
    </tableColumn>
    <tableColumn id="5" xr3:uid="{7DC2ADED-AF8A-4BC8-A38E-FEF676FE49C9}" name="Qtd" dataDxfId="19"/>
    <tableColumn id="9" xr3:uid="{05B7315B-2774-41BC-AFEC-4A19E452D6C7}" name="Preço Unitário" dataDxfId="18">
      <calculatedColumnFormula>VLOOKUP(TB_Vendas[[#This Row],[Código]],Produtos!$B$6:$G$66,6,0)</calculatedColumnFormula>
    </tableColumn>
    <tableColumn id="18" xr3:uid="{152BED38-8D5F-4FAA-8C38-58740E2353E5}" name="Indice" dataDxfId="17">
      <calculatedColumnFormula>_xlfn.XMATCH(TB_Vendas[[#This Row],[Categoria]],Desc_Categorias,0)</calculatedColumnFormula>
    </tableColumn>
    <tableColumn id="17" xr3:uid="{C4E78734-94D7-4D31-B07D-5609B855AC0F}" name="Desconto _x000a_(Passo a Passo)" dataDxfId="16" dataCellStyle="Porcentagem">
      <calculatedColumnFormula>VLOOKUP(TB_Vendas[[#This Row],[Qtd]],Desc_TabelaToda,TB_Vendas[[#This Row],[Indice]],TRUE)</calculatedColumnFormula>
    </tableColumn>
    <tableColumn id="2" xr3:uid="{4BEBDE19-FA81-4412-AC83-E0AE6998A9B4}" name="Desconto _x000a_(Diretão)" dataDxfId="15" dataCellStyle="Porcentagem">
      <calculatedColumnFormula array="1">INDEX(Desc_TabelaToda,MATCH(TB_Vendas[[#This Row],[Qtd]],Desc_Quantidades,1),MATCH(_xlfn.XLOOKUP(TB_Vendas[[#This Row],[Código]],TB_Produtos[[#All],[Código]],TB_Produtos[[#All],[Categoria]]),Desc_Categorias,0))</calculatedColumnFormula>
    </tableColumn>
    <tableColumn id="3" xr3:uid="{A390EF1B-6262-46F1-9157-812330B340F7}" name="Desconto _x000a_(Vendedor)" dataDxfId="14" dataCellStyle="Porcentagem">
      <calculatedColumnFormula>_xlfn.XLOOKUP(TB_Vendas[[#This Row],[Vendedor]],Vendedores!$A$5:$A$9,Vendedores!$D$5:$D$9)</calculatedColumnFormula>
    </tableColumn>
    <tableColumn id="4" xr3:uid="{0BDC1FEC-277F-4592-AE4E-EB3C0FEF2F34}" name="Desconto Final" dataDxfId="13" dataCellStyle="Porcentagem">
      <calculatedColumnFormula>IF(TB_Vendas[[#This Row],[Desconto 
(Diretão)]]&lt;=TB_Vendas[[#This Row],[Desconto 
(Vendedor)]],TB_Vendas[[#This Row],[Desconto 
(Diretão)]],TB_Vendas[[#This Row],[Desconto 
(Vendedor)]])</calculatedColumnFormula>
    </tableColumn>
    <tableColumn id="6" xr3:uid="{9459B662-6A4F-4486-82B1-12F67B8F842E}" name="Total" dataDxfId="12">
      <calculatedColumnFormula>TB_Vendas[[#This Row],[Preço Unitário]]*TB_Vendas[[#This Row],[Qtd]]</calculatedColumnFormula>
    </tableColumn>
    <tableColumn id="8" xr3:uid="{192FEBCA-1287-48A6-9BE6-69528F71C305}" name="Vendedor" dataDxfId="1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C272A-6795-4A97-8888-DB78681264A5}" name="tb_vendas_hist" displayName="tb_vendas_hist" ref="A1:H253" tableType="queryTable" totalsRowShown="0">
  <autoFilter ref="A1:H253" xr:uid="{04BC272A-6795-4A97-8888-DB78681264A5}"/>
  <tableColumns count="8">
    <tableColumn id="1" xr3:uid="{F51B9118-0A2E-490A-9F6A-B23D5A5DA636}" uniqueName="1" name="Data" queryTableFieldId="1" dataDxfId="10"/>
    <tableColumn id="2" xr3:uid="{8AEDD25B-97D5-4F29-9E05-99E0F581FFD0}" uniqueName="2" name="Código" queryTableFieldId="2" dataDxfId="9"/>
    <tableColumn id="3" xr3:uid="{709E2B07-FCC3-4092-AFD5-DD4C42111BA7}" uniqueName="3" name="Categoria" queryTableFieldId="3" dataDxfId="8"/>
    <tableColumn id="4" xr3:uid="{1DA1A178-A310-40AC-ADC3-BB6B2578BE83}" uniqueName="4" name="Qtd" queryTableFieldId="4"/>
    <tableColumn id="5" xr3:uid="{B78978B8-9604-4C63-8E58-B963C369D02F}" uniqueName="5" name="Preço Unitário" queryTableFieldId="5"/>
    <tableColumn id="6" xr3:uid="{35D35E7B-E105-4C8E-8834-D0374F5F3913}" uniqueName="6" name="Desconto Final" queryTableFieldId="6"/>
    <tableColumn id="7" xr3:uid="{97EA9BBD-5832-4CF9-8A16-E7D130E66998}" uniqueName="7" name="Total" queryTableFieldId="7"/>
    <tableColumn id="8" xr3:uid="{F8A9DE59-C42E-40A8-8FDB-D7AA186B5667}" uniqueName="8" name="Vendedor" queryTableFieldId="8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a" xr10:uid="{2BF93CCF-9A19-4A03-85C0-0DAC9CCF8C08}" sourceName="[tb_vendas_hist].[Data]">
  <pivotTables>
    <pivotTable tabId="42" name="TBDN_HIS_VENDAS"/>
    <pivotTable tabId="42" name="TBDN_VENDEDOR_RANKING_HIST"/>
  </pivotTables>
  <state minimalRefreshVersion="6" lastRefreshVersion="6" pivotCacheId="496521050" filterType="unknown">
    <bounds startDate="2021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5D91F7D2-1836-4525-A2B7-6865520A7675}" cache="Timeline_Data" caption="Data" level="2" selectionLevel="2" scrollPosition="2022-05-19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microsoft.com/office/2007/relationships/slicer" Target="../slicers/slicer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459-A54B-43BC-8015-18FA787E0663}">
  <dimension ref="A1:L16"/>
  <sheetViews>
    <sheetView workbookViewId="0">
      <pane activePane="bottomRight" state="frozen"/>
      <selection sqref="A1:L6"/>
    </sheetView>
  </sheetViews>
  <sheetFormatPr defaultColWidth="0" defaultRowHeight="15" zeroHeight="1"/>
  <cols>
    <col min="1" max="12" width="8.85546875" customWidth="1"/>
    <col min="13" max="16384" width="8.85546875" hidden="1"/>
  </cols>
  <sheetData>
    <row r="1" spans="1:12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2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</row>
    <row r="5" spans="1:12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</row>
    <row r="7" spans="1:1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</sheetData>
  <sheetProtection sheet="1" objects="1" scenarios="1" selectLockedCells="1"/>
  <mergeCells count="1">
    <mergeCell ref="A1:L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I66"/>
  <sheetViews>
    <sheetView showGridLines="0" zoomScale="120" zoomScaleNormal="120" workbookViewId="0">
      <pane ySplit="1" topLeftCell="A2" activePane="bottomLeft" state="frozen"/>
      <selection pane="bottomLeft" activeCell="C66" sqref="C66"/>
    </sheetView>
  </sheetViews>
  <sheetFormatPr defaultColWidth="0" defaultRowHeight="15"/>
  <cols>
    <col min="1" max="1" width="8.42578125" customWidth="1"/>
    <col min="2" max="2" width="18.28515625" bestFit="1" customWidth="1"/>
    <col min="3" max="3" width="22.7109375" style="1" customWidth="1"/>
    <col min="4" max="4" width="14" bestFit="1" customWidth="1"/>
    <col min="5" max="5" width="17.140625" bestFit="1" customWidth="1"/>
    <col min="6" max="6" width="13.140625" customWidth="1"/>
    <col min="7" max="7" width="22.85546875" bestFit="1" customWidth="1"/>
    <col min="8" max="8" width="8.85546875" customWidth="1"/>
    <col min="9" max="16384" width="8.85546875" hidden="1"/>
  </cols>
  <sheetData>
    <row r="1" spans="1:9" s="13" customFormat="1" ht="40.15" customHeight="1">
      <c r="A1" s="16"/>
      <c r="B1" s="20" t="s">
        <v>120</v>
      </c>
      <c r="C1" s="20"/>
      <c r="D1" s="20"/>
      <c r="E1" s="20"/>
      <c r="F1" s="20"/>
      <c r="G1" s="20"/>
      <c r="H1" s="18"/>
      <c r="I1" s="18"/>
    </row>
    <row r="2" spans="1:9" s="14" customFormat="1" ht="4.5" customHeight="1">
      <c r="A2" s="17"/>
      <c r="B2" s="17"/>
      <c r="C2" s="17"/>
      <c r="D2" s="17"/>
      <c r="E2" s="17"/>
      <c r="F2" s="17"/>
    </row>
    <row r="3" spans="1:9" ht="4.5" customHeight="1">
      <c r="A3" s="15"/>
      <c r="B3" s="15"/>
      <c r="C3" s="15"/>
      <c r="D3" s="15"/>
      <c r="E3" s="15"/>
      <c r="F3" s="15"/>
    </row>
    <row r="4" spans="1:9" ht="18" customHeight="1">
      <c r="A4" s="19"/>
      <c r="B4" s="19"/>
      <c r="D4" s="15"/>
      <c r="E4" s="15"/>
      <c r="F4" s="15"/>
    </row>
    <row r="5" spans="1:9" ht="4.9000000000000004" customHeight="1">
      <c r="A5" s="15"/>
      <c r="B5" s="15"/>
      <c r="C5" s="15"/>
      <c r="D5" s="15"/>
      <c r="E5" s="15"/>
      <c r="F5" s="15"/>
    </row>
    <row r="6" spans="1:9" s="1" customFormat="1" ht="18.75">
      <c r="B6" s="9" t="s">
        <v>30</v>
      </c>
      <c r="C6" s="9" t="s">
        <v>0</v>
      </c>
      <c r="D6" s="9" t="s">
        <v>1</v>
      </c>
      <c r="E6" s="9" t="s">
        <v>10</v>
      </c>
      <c r="F6" s="9" t="s">
        <v>75</v>
      </c>
      <c r="G6" s="9" t="s">
        <v>11</v>
      </c>
      <c r="H6" s="9"/>
    </row>
    <row r="7" spans="1:9">
      <c r="B7" s="1" t="s">
        <v>31</v>
      </c>
      <c r="C7" t="s">
        <v>5</v>
      </c>
      <c r="D7" s="1" t="s">
        <v>2</v>
      </c>
      <c r="E7" t="s">
        <v>12</v>
      </c>
      <c r="F7" s="1">
        <v>48</v>
      </c>
      <c r="G7" s="2">
        <v>65.900000000000006</v>
      </c>
    </row>
    <row r="8" spans="1:9">
      <c r="B8" s="1" t="s">
        <v>32</v>
      </c>
      <c r="C8" t="s">
        <v>5</v>
      </c>
      <c r="D8" s="1" t="s">
        <v>3</v>
      </c>
      <c r="E8" t="s">
        <v>12</v>
      </c>
      <c r="F8" s="1">
        <v>17</v>
      </c>
      <c r="G8" s="2">
        <v>69.900000000000006</v>
      </c>
    </row>
    <row r="9" spans="1:9">
      <c r="B9" s="1" t="s">
        <v>33</v>
      </c>
      <c r="C9" t="s">
        <v>5</v>
      </c>
      <c r="D9" s="1" t="s">
        <v>4</v>
      </c>
      <c r="E9" t="s">
        <v>12</v>
      </c>
      <c r="F9" s="1">
        <v>25</v>
      </c>
      <c r="G9" s="2">
        <v>70.900000000000006</v>
      </c>
    </row>
    <row r="10" spans="1:9">
      <c r="B10" s="1" t="s">
        <v>34</v>
      </c>
      <c r="C10" t="s">
        <v>29</v>
      </c>
      <c r="D10" s="1" t="s">
        <v>8</v>
      </c>
      <c r="E10" t="s">
        <v>13</v>
      </c>
      <c r="F10" s="1">
        <v>36</v>
      </c>
      <c r="G10" s="2">
        <v>145</v>
      </c>
    </row>
    <row r="11" spans="1:9">
      <c r="B11" s="1" t="s">
        <v>35</v>
      </c>
      <c r="C11" t="s">
        <v>28</v>
      </c>
      <c r="D11" s="1" t="s">
        <v>8</v>
      </c>
      <c r="E11" t="s">
        <v>13</v>
      </c>
      <c r="F11" s="1">
        <v>21</v>
      </c>
      <c r="G11" s="2">
        <v>259.89999999999998</v>
      </c>
    </row>
    <row r="12" spans="1:9">
      <c r="B12" s="1" t="s">
        <v>36</v>
      </c>
      <c r="C12" t="s">
        <v>6</v>
      </c>
      <c r="D12" s="1" t="s">
        <v>8</v>
      </c>
      <c r="E12" t="s">
        <v>13</v>
      </c>
      <c r="F12" s="1">
        <v>23</v>
      </c>
      <c r="G12" s="2">
        <v>39.9</v>
      </c>
    </row>
    <row r="13" spans="1:9">
      <c r="B13" s="1" t="s">
        <v>37</v>
      </c>
      <c r="C13" t="s">
        <v>23</v>
      </c>
      <c r="D13" s="1" t="s">
        <v>2</v>
      </c>
      <c r="E13" t="s">
        <v>12</v>
      </c>
      <c r="F13" s="1">
        <v>24</v>
      </c>
      <c r="G13" s="2">
        <v>85.9</v>
      </c>
    </row>
    <row r="14" spans="1:9">
      <c r="B14" s="1" t="s">
        <v>38</v>
      </c>
      <c r="C14" t="s">
        <v>23</v>
      </c>
      <c r="D14" s="1" t="s">
        <v>3</v>
      </c>
      <c r="E14" t="s">
        <v>12</v>
      </c>
      <c r="F14" s="1">
        <v>35</v>
      </c>
      <c r="G14" s="2">
        <v>89.9</v>
      </c>
    </row>
    <row r="15" spans="1:9">
      <c r="B15" s="1" t="s">
        <v>39</v>
      </c>
      <c r="C15" t="s">
        <v>23</v>
      </c>
      <c r="D15" s="1" t="s">
        <v>4</v>
      </c>
      <c r="E15" t="s">
        <v>12</v>
      </c>
      <c r="F15" s="1">
        <v>47</v>
      </c>
      <c r="G15" s="2">
        <v>92.9</v>
      </c>
    </row>
    <row r="16" spans="1:9">
      <c r="B16" s="1" t="s">
        <v>40</v>
      </c>
      <c r="C16" t="s">
        <v>26</v>
      </c>
      <c r="D16" s="1" t="s">
        <v>2</v>
      </c>
      <c r="E16" t="s">
        <v>12</v>
      </c>
      <c r="F16" s="1">
        <v>42</v>
      </c>
      <c r="G16" s="2">
        <v>44.9</v>
      </c>
    </row>
    <row r="17" spans="2:7">
      <c r="B17" s="1" t="s">
        <v>41</v>
      </c>
      <c r="C17" t="s">
        <v>26</v>
      </c>
      <c r="D17" s="1" t="s">
        <v>3</v>
      </c>
      <c r="E17" t="s">
        <v>12</v>
      </c>
      <c r="F17" s="1">
        <v>32</v>
      </c>
      <c r="G17" s="2">
        <v>46.9</v>
      </c>
    </row>
    <row r="18" spans="2:7">
      <c r="B18" s="1" t="s">
        <v>42</v>
      </c>
      <c r="C18" t="s">
        <v>26</v>
      </c>
      <c r="D18" s="1" t="s">
        <v>4</v>
      </c>
      <c r="E18" t="s">
        <v>12</v>
      </c>
      <c r="F18" s="1">
        <v>45</v>
      </c>
      <c r="G18" s="2">
        <v>48.9</v>
      </c>
    </row>
    <row r="19" spans="2:7">
      <c r="B19" s="1" t="s">
        <v>43</v>
      </c>
      <c r="C19" t="s">
        <v>18</v>
      </c>
      <c r="D19" s="1" t="s">
        <v>2</v>
      </c>
      <c r="E19" t="s">
        <v>12</v>
      </c>
      <c r="F19" s="1">
        <v>19</v>
      </c>
      <c r="G19" s="2">
        <v>39.9</v>
      </c>
    </row>
    <row r="20" spans="2:7">
      <c r="B20" s="1" t="s">
        <v>44</v>
      </c>
      <c r="C20" t="s">
        <v>18</v>
      </c>
      <c r="D20" s="1" t="s">
        <v>3</v>
      </c>
      <c r="E20" t="s">
        <v>12</v>
      </c>
      <c r="F20" s="1">
        <v>37</v>
      </c>
      <c r="G20" s="2">
        <v>39.9</v>
      </c>
    </row>
    <row r="21" spans="2:7">
      <c r="B21" s="1" t="s">
        <v>45</v>
      </c>
      <c r="C21" t="s">
        <v>18</v>
      </c>
      <c r="D21" s="1" t="s">
        <v>4</v>
      </c>
      <c r="E21" t="s">
        <v>12</v>
      </c>
      <c r="F21" s="1">
        <v>16</v>
      </c>
      <c r="G21" s="2">
        <v>42.5</v>
      </c>
    </row>
    <row r="22" spans="2:7">
      <c r="B22" s="1" t="s">
        <v>46</v>
      </c>
      <c r="C22" t="s">
        <v>9</v>
      </c>
      <c r="D22" s="1" t="s">
        <v>2</v>
      </c>
      <c r="E22" t="s">
        <v>12</v>
      </c>
      <c r="F22" s="1">
        <v>43</v>
      </c>
      <c r="G22" s="2">
        <v>25.9</v>
      </c>
    </row>
    <row r="23" spans="2:7">
      <c r="B23" s="1" t="s">
        <v>47</v>
      </c>
      <c r="C23" t="s">
        <v>17</v>
      </c>
      <c r="D23" s="1" t="s">
        <v>3</v>
      </c>
      <c r="E23" t="s">
        <v>12</v>
      </c>
      <c r="F23" s="1">
        <v>46</v>
      </c>
      <c r="G23" s="2">
        <v>29.9</v>
      </c>
    </row>
    <row r="24" spans="2:7">
      <c r="B24" s="1" t="s">
        <v>48</v>
      </c>
      <c r="C24" t="s">
        <v>17</v>
      </c>
      <c r="D24" s="1" t="s">
        <v>4</v>
      </c>
      <c r="E24" t="s">
        <v>12</v>
      </c>
      <c r="F24" s="1">
        <v>0</v>
      </c>
      <c r="G24" s="2">
        <v>32.9</v>
      </c>
    </row>
    <row r="25" spans="2:7">
      <c r="B25" s="1" t="s">
        <v>49</v>
      </c>
      <c r="C25" t="s">
        <v>7</v>
      </c>
      <c r="D25" s="1" t="s">
        <v>8</v>
      </c>
      <c r="E25" t="s">
        <v>13</v>
      </c>
      <c r="F25" s="1">
        <v>2</v>
      </c>
      <c r="G25" s="2">
        <v>49.9</v>
      </c>
    </row>
    <row r="26" spans="2:7">
      <c r="B26" s="1" t="s">
        <v>50</v>
      </c>
      <c r="C26" t="s">
        <v>22</v>
      </c>
      <c r="D26" s="1" t="s">
        <v>2</v>
      </c>
      <c r="E26" t="s">
        <v>12</v>
      </c>
      <c r="F26" s="1">
        <v>34</v>
      </c>
      <c r="G26" s="2">
        <v>299.89999999999998</v>
      </c>
    </row>
    <row r="27" spans="2:7">
      <c r="B27" s="1" t="s">
        <v>51</v>
      </c>
      <c r="C27" t="s">
        <v>22</v>
      </c>
      <c r="D27" s="1" t="s">
        <v>3</v>
      </c>
      <c r="E27" t="s">
        <v>12</v>
      </c>
      <c r="F27" s="1">
        <v>34</v>
      </c>
      <c r="G27" s="2">
        <v>302.89999999999998</v>
      </c>
    </row>
    <row r="28" spans="2:7">
      <c r="B28" s="1" t="s">
        <v>52</v>
      </c>
      <c r="C28" t="s">
        <v>22</v>
      </c>
      <c r="D28" s="1" t="s">
        <v>4</v>
      </c>
      <c r="E28" t="s">
        <v>12</v>
      </c>
      <c r="F28" s="1">
        <v>35</v>
      </c>
      <c r="G28" s="2">
        <v>300</v>
      </c>
    </row>
    <row r="29" spans="2:7">
      <c r="B29" s="1" t="s">
        <v>53</v>
      </c>
      <c r="C29" t="s">
        <v>21</v>
      </c>
      <c r="D29" s="1" t="s">
        <v>2</v>
      </c>
      <c r="E29" t="s">
        <v>12</v>
      </c>
      <c r="F29" s="1">
        <v>49</v>
      </c>
      <c r="G29" s="2">
        <v>249.9</v>
      </c>
    </row>
    <row r="30" spans="2:7">
      <c r="B30" s="1" t="s">
        <v>54</v>
      </c>
      <c r="C30" t="s">
        <v>21</v>
      </c>
      <c r="D30" s="1" t="s">
        <v>3</v>
      </c>
      <c r="E30" t="s">
        <v>12</v>
      </c>
      <c r="F30" s="1">
        <v>16</v>
      </c>
      <c r="G30" s="2">
        <v>259.89999999999998</v>
      </c>
    </row>
    <row r="31" spans="2:7">
      <c r="B31" s="1" t="s">
        <v>55</v>
      </c>
      <c r="C31" t="s">
        <v>21</v>
      </c>
      <c r="D31" s="1" t="s">
        <v>4</v>
      </c>
      <c r="E31" t="s">
        <v>12</v>
      </c>
      <c r="F31" s="1">
        <v>41</v>
      </c>
      <c r="G31" s="2">
        <v>299.89999999999998</v>
      </c>
    </row>
    <row r="32" spans="2:7">
      <c r="B32" s="1" t="s">
        <v>56</v>
      </c>
      <c r="C32" t="s">
        <v>20</v>
      </c>
      <c r="D32" s="1" t="s">
        <v>8</v>
      </c>
      <c r="E32" t="s">
        <v>13</v>
      </c>
      <c r="F32" s="1">
        <v>32</v>
      </c>
      <c r="G32" s="2">
        <v>349.9</v>
      </c>
    </row>
    <row r="33" spans="2:7">
      <c r="B33" s="1" t="s">
        <v>57</v>
      </c>
      <c r="C33" t="s">
        <v>19</v>
      </c>
      <c r="D33" s="1" t="s">
        <v>8</v>
      </c>
      <c r="E33" t="s">
        <v>13</v>
      </c>
      <c r="F33" s="1">
        <v>45</v>
      </c>
      <c r="G33" s="2">
        <v>120</v>
      </c>
    </row>
    <row r="34" spans="2:7">
      <c r="B34" s="1" t="s">
        <v>58</v>
      </c>
      <c r="C34" t="s">
        <v>27</v>
      </c>
      <c r="D34" s="1">
        <v>36</v>
      </c>
      <c r="E34" t="s">
        <v>14</v>
      </c>
      <c r="F34" s="1">
        <v>37</v>
      </c>
      <c r="G34" s="2">
        <v>249.9</v>
      </c>
    </row>
    <row r="35" spans="2:7">
      <c r="B35" s="1" t="s">
        <v>59</v>
      </c>
      <c r="C35" t="s">
        <v>27</v>
      </c>
      <c r="D35" s="1">
        <v>37</v>
      </c>
      <c r="E35" t="s">
        <v>14</v>
      </c>
      <c r="F35" s="1">
        <v>41</v>
      </c>
      <c r="G35" s="2">
        <v>255</v>
      </c>
    </row>
    <row r="36" spans="2:7">
      <c r="B36" s="1" t="s">
        <v>60</v>
      </c>
      <c r="C36" t="s">
        <v>27</v>
      </c>
      <c r="D36" s="1">
        <v>38</v>
      </c>
      <c r="E36" t="s">
        <v>14</v>
      </c>
      <c r="F36" s="1">
        <v>30</v>
      </c>
      <c r="G36" s="2">
        <v>259.89999999999998</v>
      </c>
    </row>
    <row r="37" spans="2:7">
      <c r="B37" s="1" t="s">
        <v>61</v>
      </c>
      <c r="C37" t="s">
        <v>111</v>
      </c>
      <c r="D37" s="1">
        <v>36</v>
      </c>
      <c r="E37" t="s">
        <v>14</v>
      </c>
      <c r="F37" s="1">
        <v>27</v>
      </c>
      <c r="G37" s="2">
        <v>245</v>
      </c>
    </row>
    <row r="38" spans="2:7">
      <c r="B38" s="1" t="s">
        <v>62</v>
      </c>
      <c r="C38" t="s">
        <v>111</v>
      </c>
      <c r="D38" s="1">
        <v>37</v>
      </c>
      <c r="E38" t="s">
        <v>14</v>
      </c>
      <c r="F38" s="1">
        <v>41</v>
      </c>
      <c r="G38" s="2">
        <v>250</v>
      </c>
    </row>
    <row r="39" spans="2:7">
      <c r="B39" s="1" t="s">
        <v>63</v>
      </c>
      <c r="C39" t="s">
        <v>111</v>
      </c>
      <c r="D39" s="1">
        <v>38</v>
      </c>
      <c r="E39" t="s">
        <v>14</v>
      </c>
      <c r="F39" s="1">
        <v>43</v>
      </c>
      <c r="G39" s="2">
        <v>259.89999999999998</v>
      </c>
    </row>
    <row r="40" spans="2:7">
      <c r="B40" s="1" t="s">
        <v>64</v>
      </c>
      <c r="C40" t="s">
        <v>25</v>
      </c>
      <c r="D40" s="1" t="s">
        <v>2</v>
      </c>
      <c r="E40" t="s">
        <v>12</v>
      </c>
      <c r="F40" s="1">
        <v>43</v>
      </c>
      <c r="G40" s="2">
        <v>89.9</v>
      </c>
    </row>
    <row r="41" spans="2:7">
      <c r="B41" s="1" t="s">
        <v>65</v>
      </c>
      <c r="C41" t="s">
        <v>25</v>
      </c>
      <c r="D41" s="1" t="s">
        <v>3</v>
      </c>
      <c r="E41" t="s">
        <v>12</v>
      </c>
      <c r="F41" s="1">
        <v>18</v>
      </c>
      <c r="G41" s="2">
        <v>91.4</v>
      </c>
    </row>
    <row r="42" spans="2:7">
      <c r="B42" s="1" t="s">
        <v>66</v>
      </c>
      <c r="C42" t="s">
        <v>25</v>
      </c>
      <c r="D42" s="1" t="s">
        <v>4</v>
      </c>
      <c r="E42" t="s">
        <v>12</v>
      </c>
      <c r="F42" s="1">
        <v>45</v>
      </c>
      <c r="G42" s="2">
        <v>93.5</v>
      </c>
    </row>
    <row r="43" spans="2:7">
      <c r="B43" s="1" t="s">
        <v>67</v>
      </c>
      <c r="C43" t="s">
        <v>24</v>
      </c>
      <c r="D43" s="1" t="s">
        <v>2</v>
      </c>
      <c r="E43" t="s">
        <v>12</v>
      </c>
      <c r="F43" s="1">
        <v>34</v>
      </c>
      <c r="G43" s="2">
        <v>140</v>
      </c>
    </row>
    <row r="44" spans="2:7">
      <c r="B44" s="1" t="s">
        <v>68</v>
      </c>
      <c r="C44" t="s">
        <v>24</v>
      </c>
      <c r="D44" s="1" t="s">
        <v>3</v>
      </c>
      <c r="E44" t="s">
        <v>12</v>
      </c>
      <c r="F44" s="1">
        <v>47</v>
      </c>
      <c r="G44" s="2">
        <v>142.9</v>
      </c>
    </row>
    <row r="45" spans="2:7">
      <c r="B45" s="1" t="s">
        <v>69</v>
      </c>
      <c r="C45" t="s">
        <v>24</v>
      </c>
      <c r="D45" s="1" t="s">
        <v>4</v>
      </c>
      <c r="E45" t="s">
        <v>12</v>
      </c>
      <c r="F45" s="1">
        <v>50</v>
      </c>
      <c r="G45" s="2">
        <v>146</v>
      </c>
    </row>
    <row r="46" spans="2:7">
      <c r="B46" s="1" t="s">
        <v>83</v>
      </c>
      <c r="C46" t="s">
        <v>107</v>
      </c>
      <c r="D46" s="1" t="s">
        <v>2</v>
      </c>
      <c r="E46" t="s">
        <v>12</v>
      </c>
      <c r="F46" s="1">
        <v>16</v>
      </c>
      <c r="G46" s="8">
        <v>70</v>
      </c>
    </row>
    <row r="47" spans="2:7">
      <c r="B47" s="1" t="s">
        <v>84</v>
      </c>
      <c r="C47" t="s">
        <v>107</v>
      </c>
      <c r="D47" s="1" t="s">
        <v>3</v>
      </c>
      <c r="E47" t="s">
        <v>12</v>
      </c>
      <c r="F47" s="1">
        <v>21</v>
      </c>
      <c r="G47" s="8">
        <v>54.9</v>
      </c>
    </row>
    <row r="48" spans="2:7">
      <c r="B48" s="1" t="s">
        <v>85</v>
      </c>
      <c r="C48" t="s">
        <v>107</v>
      </c>
      <c r="D48" s="1" t="s">
        <v>4</v>
      </c>
      <c r="E48" t="s">
        <v>12</v>
      </c>
      <c r="F48" s="1">
        <v>43</v>
      </c>
      <c r="G48" s="8">
        <v>54.9</v>
      </c>
    </row>
    <row r="49" spans="2:7">
      <c r="B49" s="1" t="s">
        <v>86</v>
      </c>
      <c r="C49" t="s">
        <v>87</v>
      </c>
      <c r="D49" s="1" t="s">
        <v>2</v>
      </c>
      <c r="E49" t="s">
        <v>12</v>
      </c>
      <c r="F49" s="1">
        <v>43</v>
      </c>
      <c r="G49" s="8">
        <v>72.5</v>
      </c>
    </row>
    <row r="50" spans="2:7">
      <c r="B50" s="1" t="s">
        <v>88</v>
      </c>
      <c r="C50" t="s">
        <v>87</v>
      </c>
      <c r="D50" s="1" t="s">
        <v>3</v>
      </c>
      <c r="E50" t="s">
        <v>12</v>
      </c>
      <c r="F50" s="1">
        <v>41</v>
      </c>
      <c r="G50" s="8">
        <v>72.5</v>
      </c>
    </row>
    <row r="51" spans="2:7">
      <c r="B51" s="1" t="s">
        <v>89</v>
      </c>
      <c r="C51" t="s">
        <v>87</v>
      </c>
      <c r="D51" s="1" t="s">
        <v>4</v>
      </c>
      <c r="E51" t="s">
        <v>12</v>
      </c>
      <c r="F51" s="1">
        <v>49</v>
      </c>
      <c r="G51" s="8">
        <v>72.5</v>
      </c>
    </row>
    <row r="52" spans="2:7">
      <c r="B52" s="1" t="s">
        <v>90</v>
      </c>
      <c r="C52" t="s">
        <v>91</v>
      </c>
      <c r="D52" s="1" t="s">
        <v>2</v>
      </c>
      <c r="E52" t="s">
        <v>12</v>
      </c>
      <c r="F52" s="1">
        <v>15</v>
      </c>
      <c r="G52" s="8">
        <v>289.89999999999998</v>
      </c>
    </row>
    <row r="53" spans="2:7">
      <c r="B53" s="1" t="s">
        <v>92</v>
      </c>
      <c r="C53" t="s">
        <v>91</v>
      </c>
      <c r="D53" s="1" t="s">
        <v>3</v>
      </c>
      <c r="E53" t="s">
        <v>12</v>
      </c>
      <c r="F53" s="1">
        <v>10</v>
      </c>
      <c r="G53" s="8">
        <v>289.89999999999998</v>
      </c>
    </row>
    <row r="54" spans="2:7">
      <c r="B54" s="1" t="s">
        <v>93</v>
      </c>
      <c r="C54" t="s">
        <v>91</v>
      </c>
      <c r="D54" s="1" t="s">
        <v>4</v>
      </c>
      <c r="E54" t="s">
        <v>12</v>
      </c>
      <c r="F54" s="1">
        <v>21</v>
      </c>
      <c r="G54" s="8">
        <v>289.89999999999998</v>
      </c>
    </row>
    <row r="55" spans="2:7">
      <c r="B55" s="1" t="s">
        <v>94</v>
      </c>
      <c r="C55" t="s">
        <v>95</v>
      </c>
      <c r="D55" s="1" t="s">
        <v>2</v>
      </c>
      <c r="E55" t="s">
        <v>12</v>
      </c>
      <c r="F55" s="1">
        <v>8</v>
      </c>
      <c r="G55" s="8">
        <v>32.9</v>
      </c>
    </row>
    <row r="56" spans="2:7">
      <c r="B56" s="1" t="s">
        <v>96</v>
      </c>
      <c r="C56" t="s">
        <v>95</v>
      </c>
      <c r="D56" s="1" t="s">
        <v>3</v>
      </c>
      <c r="E56" t="s">
        <v>12</v>
      </c>
      <c r="F56" s="1">
        <v>42</v>
      </c>
      <c r="G56" s="8">
        <v>32.9</v>
      </c>
    </row>
    <row r="57" spans="2:7">
      <c r="B57" s="1" t="s">
        <v>97</v>
      </c>
      <c r="C57" t="s">
        <v>95</v>
      </c>
      <c r="D57" s="1" t="s">
        <v>4</v>
      </c>
      <c r="E57" t="s">
        <v>12</v>
      </c>
      <c r="F57" s="1">
        <v>48</v>
      </c>
      <c r="G57" s="8">
        <v>32.9</v>
      </c>
    </row>
    <row r="58" spans="2:7">
      <c r="B58" s="1" t="s">
        <v>98</v>
      </c>
      <c r="C58" t="s">
        <v>99</v>
      </c>
      <c r="D58" s="1" t="s">
        <v>2</v>
      </c>
      <c r="E58" t="s">
        <v>12</v>
      </c>
      <c r="F58" s="1">
        <v>35</v>
      </c>
      <c r="G58" s="8">
        <v>49.9</v>
      </c>
    </row>
    <row r="59" spans="2:7">
      <c r="B59" s="1" t="s">
        <v>100</v>
      </c>
      <c r="C59" t="s">
        <v>99</v>
      </c>
      <c r="D59" s="1" t="s">
        <v>3</v>
      </c>
      <c r="E59" t="s">
        <v>12</v>
      </c>
      <c r="F59" s="1">
        <v>40</v>
      </c>
      <c r="G59" s="8">
        <v>49.9</v>
      </c>
    </row>
    <row r="60" spans="2:7">
      <c r="B60" s="1" t="s">
        <v>101</v>
      </c>
      <c r="C60" t="s">
        <v>99</v>
      </c>
      <c r="D60" s="1" t="s">
        <v>4</v>
      </c>
      <c r="E60" t="s">
        <v>12</v>
      </c>
      <c r="F60" s="1">
        <v>18</v>
      </c>
      <c r="G60" s="8">
        <v>49.9</v>
      </c>
    </row>
    <row r="61" spans="2:7">
      <c r="B61" s="1" t="s">
        <v>102</v>
      </c>
      <c r="C61" t="s">
        <v>104</v>
      </c>
      <c r="D61" s="1">
        <v>35</v>
      </c>
      <c r="E61" t="s">
        <v>14</v>
      </c>
      <c r="F61" s="1">
        <v>48</v>
      </c>
      <c r="G61" s="8">
        <v>89.9</v>
      </c>
    </row>
    <row r="62" spans="2:7">
      <c r="B62" s="1" t="s">
        <v>103</v>
      </c>
      <c r="C62" t="s">
        <v>104</v>
      </c>
      <c r="D62" s="1">
        <v>36</v>
      </c>
      <c r="E62" t="s">
        <v>14</v>
      </c>
      <c r="F62" s="1">
        <v>38</v>
      </c>
      <c r="G62" s="2">
        <v>89.9</v>
      </c>
    </row>
    <row r="63" spans="2:7">
      <c r="B63" s="1" t="s">
        <v>105</v>
      </c>
      <c r="C63" t="s">
        <v>104</v>
      </c>
      <c r="D63" s="1">
        <v>37</v>
      </c>
      <c r="E63" t="s">
        <v>14</v>
      </c>
      <c r="F63" s="1">
        <v>45</v>
      </c>
      <c r="G63" s="2">
        <v>89.9</v>
      </c>
    </row>
    <row r="64" spans="2:7">
      <c r="B64" s="1" t="s">
        <v>106</v>
      </c>
      <c r="C64" t="s">
        <v>108</v>
      </c>
      <c r="D64" s="1" t="s">
        <v>2</v>
      </c>
      <c r="E64" t="s">
        <v>12</v>
      </c>
      <c r="F64" s="1">
        <v>40</v>
      </c>
      <c r="G64" s="2">
        <v>180</v>
      </c>
    </row>
    <row r="65" spans="2:7">
      <c r="B65" s="1" t="s">
        <v>109</v>
      </c>
      <c r="C65" t="s">
        <v>108</v>
      </c>
      <c r="D65" s="1" t="s">
        <v>3</v>
      </c>
      <c r="E65" t="s">
        <v>12</v>
      </c>
      <c r="F65" s="1">
        <v>35</v>
      </c>
      <c r="G65" s="2">
        <v>180</v>
      </c>
    </row>
    <row r="66" spans="2:7">
      <c r="B66" s="1" t="s">
        <v>110</v>
      </c>
      <c r="C66" t="s">
        <v>108</v>
      </c>
      <c r="D66" s="1" t="s">
        <v>4</v>
      </c>
      <c r="E66" t="s">
        <v>12</v>
      </c>
      <c r="F66" s="1">
        <v>35</v>
      </c>
      <c r="G66" s="2">
        <v>180</v>
      </c>
    </row>
  </sheetData>
  <phoneticPr fontId="11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36B-A116-48A3-A416-7A80B429A8F5}">
  <dimension ref="A1:E9"/>
  <sheetViews>
    <sheetView workbookViewId="0">
      <pane ySplit="1" topLeftCell="A2" activePane="bottomLeft" state="frozen"/>
      <selection pane="bottomLeft" activeCell="C7" sqref="C7"/>
    </sheetView>
  </sheetViews>
  <sheetFormatPr defaultRowHeight="15"/>
  <cols>
    <col min="1" max="1" width="14.7109375" bestFit="1" customWidth="1"/>
    <col min="2" max="2" width="27.5703125" customWidth="1"/>
    <col min="3" max="3" width="25.7109375" customWidth="1"/>
    <col min="4" max="4" width="22.140625" customWidth="1"/>
  </cols>
  <sheetData>
    <row r="1" spans="1:5" s="13" customFormat="1" ht="40.15" customHeight="1">
      <c r="A1" s="16"/>
      <c r="B1" s="89" t="s">
        <v>82</v>
      </c>
      <c r="C1" s="89"/>
      <c r="D1" s="18"/>
      <c r="E1" s="18"/>
    </row>
    <row r="2" spans="1:5" s="14" customFormat="1" ht="4.5" customHeight="1">
      <c r="A2" s="17"/>
      <c r="B2" s="17"/>
    </row>
    <row r="3" spans="1:5" ht="4.5" customHeight="1" thickBot="1">
      <c r="A3" s="15"/>
      <c r="B3" s="15"/>
    </row>
    <row r="4" spans="1:5" ht="21.75">
      <c r="A4" s="25" t="s">
        <v>30</v>
      </c>
      <c r="B4" s="31" t="s">
        <v>72</v>
      </c>
      <c r="C4" s="31" t="s">
        <v>132</v>
      </c>
      <c r="D4" s="26" t="s">
        <v>133</v>
      </c>
    </row>
    <row r="5" spans="1:5" ht="22.5" customHeight="1">
      <c r="A5" s="37" t="s">
        <v>113</v>
      </c>
      <c r="B5" s="30" t="s">
        <v>71</v>
      </c>
      <c r="C5" s="30" t="s">
        <v>134</v>
      </c>
      <c r="D5" s="40">
        <v>0.2</v>
      </c>
    </row>
    <row r="6" spans="1:5" ht="22.5" customHeight="1">
      <c r="A6" s="37" t="s">
        <v>114</v>
      </c>
      <c r="B6" s="30" t="s">
        <v>73</v>
      </c>
      <c r="C6" s="30" t="s">
        <v>135</v>
      </c>
      <c r="D6" s="40">
        <v>0.15</v>
      </c>
    </row>
    <row r="7" spans="1:5" ht="22.5" customHeight="1">
      <c r="A7" s="37" t="s">
        <v>115</v>
      </c>
      <c r="B7" s="30" t="s">
        <v>70</v>
      </c>
      <c r="C7" s="30" t="s">
        <v>136</v>
      </c>
      <c r="D7" s="40">
        <v>0.1</v>
      </c>
    </row>
    <row r="8" spans="1:5" ht="22.5" customHeight="1">
      <c r="A8" s="37" t="s">
        <v>116</v>
      </c>
      <c r="B8" s="30" t="s">
        <v>118</v>
      </c>
      <c r="C8" s="30" t="s">
        <v>137</v>
      </c>
      <c r="D8" s="40">
        <v>0.2</v>
      </c>
    </row>
    <row r="9" spans="1:5" ht="22.5" customHeight="1" thickBot="1">
      <c r="A9" s="38" t="s">
        <v>117</v>
      </c>
      <c r="B9" s="39" t="s">
        <v>119</v>
      </c>
      <c r="C9" s="39" t="s">
        <v>138</v>
      </c>
      <c r="D9" s="41">
        <v>0.15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M86"/>
  <sheetViews>
    <sheetView topLeftCell="B1" zoomScaleNormal="100" workbookViewId="0">
      <pane ySplit="1" topLeftCell="A2" activePane="bottomLeft" state="frozen"/>
      <selection activeCell="B1" sqref="B1"/>
      <selection pane="bottomLeft" activeCell="B7" sqref="B7"/>
    </sheetView>
  </sheetViews>
  <sheetFormatPr defaultRowHeight="15"/>
  <cols>
    <col min="1" max="1" width="8.85546875" style="1" hidden="1" customWidth="1"/>
    <col min="2" max="2" width="11.5703125" style="1" bestFit="1" customWidth="1"/>
    <col min="3" max="3" width="11.5703125" style="1" customWidth="1"/>
    <col min="4" max="4" width="16.7109375" style="1" customWidth="1"/>
    <col min="5" max="5" width="10.140625" bestFit="1" customWidth="1"/>
    <col min="6" max="6" width="18.7109375" customWidth="1"/>
    <col min="7" max="7" width="13.140625" bestFit="1" customWidth="1"/>
    <col min="8" max="9" width="16" customWidth="1"/>
    <col min="10" max="11" width="17" customWidth="1"/>
    <col min="12" max="12" width="20.28515625" customWidth="1"/>
    <col min="13" max="13" width="17" bestFit="1" customWidth="1"/>
  </cols>
  <sheetData>
    <row r="1" spans="1:13" s="13" customFormat="1" ht="40.15" customHeight="1">
      <c r="A1" s="16"/>
      <c r="B1" s="20" t="s">
        <v>121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s="14" customFormat="1" ht="4.5" customHeight="1">
      <c r="A2" s="17"/>
      <c r="B2" s="17"/>
      <c r="C2" s="17"/>
      <c r="D2" s="17"/>
      <c r="E2" s="17"/>
    </row>
    <row r="3" spans="1:13" ht="4.5" customHeight="1">
      <c r="A3" s="15"/>
      <c r="B3" s="15"/>
      <c r="C3" s="15"/>
      <c r="D3" s="15"/>
      <c r="E3" s="15"/>
    </row>
    <row r="4" spans="1:13" s="60" customFormat="1" ht="37.5">
      <c r="A4" s="57" t="s">
        <v>112</v>
      </c>
      <c r="B4" s="58" t="s">
        <v>74</v>
      </c>
      <c r="C4" s="58" t="s">
        <v>30</v>
      </c>
      <c r="D4" s="58" t="s">
        <v>10</v>
      </c>
      <c r="E4" s="58" t="s">
        <v>15</v>
      </c>
      <c r="F4" s="58" t="s">
        <v>11</v>
      </c>
      <c r="G4" s="58" t="s">
        <v>155</v>
      </c>
      <c r="H4" s="61" t="s">
        <v>156</v>
      </c>
      <c r="I4" s="61" t="s">
        <v>157</v>
      </c>
      <c r="J4" s="61" t="s">
        <v>158</v>
      </c>
      <c r="K4" s="58" t="s">
        <v>159</v>
      </c>
      <c r="L4" s="59" t="s">
        <v>16</v>
      </c>
      <c r="M4" s="58" t="s">
        <v>72</v>
      </c>
    </row>
    <row r="5" spans="1:13">
      <c r="A5" s="4">
        <f>MONTH(TB_Vendas[[#This Row],[Data]])</f>
        <v>1</v>
      </c>
      <c r="B5" s="3">
        <v>44931</v>
      </c>
      <c r="C5" s="4" t="s">
        <v>36</v>
      </c>
      <c r="D5" s="4" t="str">
        <f>_xlfn.XLOOKUP(TB_Vendas[[#This Row],[Código]],TB_Produtos[Código],TB_Produtos[Categoria])</f>
        <v>Acessórios</v>
      </c>
      <c r="E5" s="1">
        <v>1</v>
      </c>
      <c r="F5" s="7">
        <f>VLOOKUP(TB_Vendas[[#This Row],[Código]],Produtos!$B$6:$G$66,6,0)</f>
        <v>39.9</v>
      </c>
      <c r="G5" s="1">
        <f>_xlfn.XMATCH(TB_Vendas[[#This Row],[Categoria]],Desc_Categorias,0)</f>
        <v>2</v>
      </c>
      <c r="H5" s="43">
        <f>VLOOKUP(TB_Vendas[[#This Row],[Qtd]],Desc_TabelaToda,TB_Vendas[[#This Row],[Indice]],TRUE)</f>
        <v>0</v>
      </c>
      <c r="I5" s="43" cm="1">
        <f t="array" ref="I5">INDEX(Desc_TabelaToda,MATCH(TB_Vendas[[#This Row],[Qtd]],Desc_Quantidades,1),MATCH(_xlfn.XLOOKUP(TB_Vendas[[#This Row],[Código]],TB_Produtos[[#All],[Código]],TB_Produtos[[#All],[Categoria]]),Desc_Categorias,0))</f>
        <v>0</v>
      </c>
      <c r="J5" s="43">
        <f>_xlfn.XLOOKUP(TB_Vendas[[#This Row],[Vendedor]],Vendedores!$A$5:$A$9,Vendedores!$D$5:$D$9)</f>
        <v>0.15</v>
      </c>
      <c r="K5" s="43">
        <f>IF(TB_Vendas[[#This Row],[Desconto 
(Diretão)]]&lt;=TB_Vendas[[#This Row],[Desconto 
(Vendedor)]],TB_Vendas[[#This Row],[Desconto 
(Diretão)]],TB_Vendas[[#This Row],[Desconto 
(Vendedor)]])</f>
        <v>0</v>
      </c>
      <c r="L5" s="2">
        <f>TB_Vendas[[#This Row],[Preço Unitário]]*TB_Vendas[[#This Row],[Qtd]]</f>
        <v>39.9</v>
      </c>
      <c r="M5" s="1" t="s">
        <v>114</v>
      </c>
    </row>
    <row r="6" spans="1:13">
      <c r="A6" s="4">
        <f>MONTH(TB_Vendas[[#This Row],[Data]])</f>
        <v>1</v>
      </c>
      <c r="B6" s="3">
        <v>44932</v>
      </c>
      <c r="C6" s="4" t="s">
        <v>35</v>
      </c>
      <c r="D6" s="4" t="str">
        <f>_xlfn.XLOOKUP(TB_Vendas[[#This Row],[Código]],TB_Produtos[Código],TB_Produtos[Categoria])</f>
        <v>Acessórios</v>
      </c>
      <c r="E6" s="1">
        <v>1</v>
      </c>
      <c r="F6" s="7">
        <f>VLOOKUP(TB_Vendas[[#This Row],[Código]],Produtos!$B$6:$G$66,6,0)</f>
        <v>259.89999999999998</v>
      </c>
      <c r="G6" s="1">
        <f>_xlfn.XMATCH(TB_Vendas[[#This Row],[Categoria]],Desc_Categorias,0)</f>
        <v>2</v>
      </c>
      <c r="H6" s="43">
        <f>VLOOKUP(TB_Vendas[[#This Row],[Qtd]],Desc_TabelaToda,TB_Vendas[[#This Row],[Indice]],TRUE)</f>
        <v>0</v>
      </c>
      <c r="I6" s="43" cm="1">
        <f t="array" ref="I6">INDEX(Desc_TabelaToda,MATCH(TB_Vendas[[#This Row],[Qtd]],Desc_Quantidades,1),MATCH(_xlfn.XLOOKUP(TB_Vendas[[#This Row],[Código]],TB_Produtos[[#All],[Código]],TB_Produtos[[#All],[Categoria]]),Desc_Categorias,0))</f>
        <v>0</v>
      </c>
      <c r="J6" s="43">
        <f>_xlfn.XLOOKUP(TB_Vendas[[#This Row],[Vendedor]],Vendedores!$A$5:$A$9,Vendedores!$D$5:$D$9)</f>
        <v>0.15</v>
      </c>
      <c r="K6" s="43">
        <f>IF(TB_Vendas[[#This Row],[Desconto 
(Diretão)]]&lt;=TB_Vendas[[#This Row],[Desconto 
(Vendedor)]],TB_Vendas[[#This Row],[Desconto 
(Diretão)]],TB_Vendas[[#This Row],[Desconto 
(Vendedor)]])</f>
        <v>0</v>
      </c>
      <c r="L6" s="2">
        <f>TB_Vendas[[#This Row],[Preço Unitário]]*TB_Vendas[[#This Row],[Qtd]]</f>
        <v>259.89999999999998</v>
      </c>
      <c r="M6" s="1" t="s">
        <v>114</v>
      </c>
    </row>
    <row r="7" spans="1:13">
      <c r="A7" s="4">
        <f>MONTH(TB_Vendas[[#This Row],[Data]])</f>
        <v>1</v>
      </c>
      <c r="B7" s="3">
        <v>44933</v>
      </c>
      <c r="C7" s="4" t="s">
        <v>97</v>
      </c>
      <c r="D7" s="4" t="str">
        <f>_xlfn.XLOOKUP(TB_Vendas[[#This Row],[Código]],TB_Produtos[Código],TB_Produtos[Categoria])</f>
        <v>Vestuário</v>
      </c>
      <c r="E7" s="1">
        <v>2</v>
      </c>
      <c r="F7" s="7">
        <f>VLOOKUP(TB_Vendas[[#This Row],[Código]],Produtos!$B$6:$G$66,6,0)</f>
        <v>32.9</v>
      </c>
      <c r="G7" s="1">
        <f>_xlfn.XMATCH(TB_Vendas[[#This Row],[Categoria]],Desc_Categorias,0)</f>
        <v>3</v>
      </c>
      <c r="H7" s="43">
        <f>VLOOKUP(TB_Vendas[[#This Row],[Qtd]],Desc_TabelaToda,TB_Vendas[[#This Row],[Indice]],TRUE)</f>
        <v>0.15</v>
      </c>
      <c r="I7" s="43" cm="1">
        <f t="array" ref="I7">INDEX(Desc_TabelaToda,MATCH(TB_Vendas[[#This Row],[Qtd]],Desc_Quantidades,1),MATCH(_xlfn.XLOOKUP(TB_Vendas[[#This Row],[Código]],TB_Produtos[[#All],[Código]],TB_Produtos[[#All],[Categoria]]),Desc_Categorias,0))</f>
        <v>0.15</v>
      </c>
      <c r="J7" s="43">
        <f>_xlfn.XLOOKUP(TB_Vendas[[#This Row],[Vendedor]],Vendedores!$A$5:$A$9,Vendedores!$D$5:$D$9)</f>
        <v>0.2</v>
      </c>
      <c r="K7" s="43">
        <f>IF(TB_Vendas[[#This Row],[Desconto 
(Diretão)]]&lt;=TB_Vendas[[#This Row],[Desconto 
(Vendedor)]],TB_Vendas[[#This Row],[Desconto 
(Diretão)]],TB_Vendas[[#This Row],[Desconto 
(Vendedor)]])</f>
        <v>0.15</v>
      </c>
      <c r="L7" s="2">
        <f>TB_Vendas[[#This Row],[Preço Unitário]]*TB_Vendas[[#This Row],[Qtd]]</f>
        <v>65.8</v>
      </c>
      <c r="M7" s="1" t="s">
        <v>113</v>
      </c>
    </row>
    <row r="8" spans="1:13">
      <c r="A8" s="4">
        <f>MONTH(TB_Vendas[[#This Row],[Data]])</f>
        <v>1</v>
      </c>
      <c r="B8" s="3">
        <v>44938</v>
      </c>
      <c r="C8" s="4" t="s">
        <v>41</v>
      </c>
      <c r="D8" s="4" t="str">
        <f>_xlfn.XLOOKUP(TB_Vendas[[#This Row],[Código]],TB_Produtos[Código],TB_Produtos[Categoria])</f>
        <v>Vestuário</v>
      </c>
      <c r="E8" s="1">
        <v>1</v>
      </c>
      <c r="F8" s="7">
        <f>VLOOKUP(TB_Vendas[[#This Row],[Código]],Produtos!$B$6:$G$66,6,0)</f>
        <v>46.9</v>
      </c>
      <c r="G8" s="1">
        <f>_xlfn.XMATCH(TB_Vendas[[#This Row],[Categoria]],Desc_Categorias,0)</f>
        <v>3</v>
      </c>
      <c r="H8" s="43">
        <f>VLOOKUP(TB_Vendas[[#This Row],[Qtd]],Desc_TabelaToda,TB_Vendas[[#This Row],[Indice]],TRUE)</f>
        <v>0.1</v>
      </c>
      <c r="I8" s="43" cm="1">
        <f t="array" ref="I8">INDEX(Desc_TabelaToda,MATCH(TB_Vendas[[#This Row],[Qtd]],Desc_Quantidades,1),MATCH(_xlfn.XLOOKUP(TB_Vendas[[#This Row],[Código]],TB_Produtos[[#All],[Código]],TB_Produtos[[#All],[Categoria]]),Desc_Categorias,0))</f>
        <v>0.1</v>
      </c>
      <c r="J8" s="43">
        <f>_xlfn.XLOOKUP(TB_Vendas[[#This Row],[Vendedor]],Vendedores!$A$5:$A$9,Vendedores!$D$5:$D$9)</f>
        <v>0.15</v>
      </c>
      <c r="K8" s="43">
        <f>IF(TB_Vendas[[#This Row],[Desconto 
(Diretão)]]&lt;=TB_Vendas[[#This Row],[Desconto 
(Vendedor)]],TB_Vendas[[#This Row],[Desconto 
(Diretão)]],TB_Vendas[[#This Row],[Desconto 
(Vendedor)]])</f>
        <v>0.1</v>
      </c>
      <c r="L8" s="2">
        <f>TB_Vendas[[#This Row],[Preço Unitário]]*TB_Vendas[[#This Row],[Qtd]]</f>
        <v>46.9</v>
      </c>
      <c r="M8" s="1" t="s">
        <v>117</v>
      </c>
    </row>
    <row r="9" spans="1:13">
      <c r="A9" s="4">
        <f>MONTH(TB_Vendas[[#This Row],[Data]])</f>
        <v>1</v>
      </c>
      <c r="B9" s="3">
        <v>44939</v>
      </c>
      <c r="C9" s="4" t="s">
        <v>47</v>
      </c>
      <c r="D9" s="4" t="str">
        <f>_xlfn.XLOOKUP(TB_Vendas[[#This Row],[Código]],TB_Produtos[Código],TB_Produtos[Categoria])</f>
        <v>Vestuário</v>
      </c>
      <c r="E9" s="1">
        <v>1</v>
      </c>
      <c r="F9" s="7">
        <f>VLOOKUP(TB_Vendas[[#This Row],[Código]],Produtos!$B$6:$G$66,6,0)</f>
        <v>29.9</v>
      </c>
      <c r="G9" s="1">
        <f>_xlfn.XMATCH(TB_Vendas[[#This Row],[Categoria]],Desc_Categorias,0)</f>
        <v>3</v>
      </c>
      <c r="H9" s="43">
        <f>VLOOKUP(TB_Vendas[[#This Row],[Qtd]],Desc_TabelaToda,TB_Vendas[[#This Row],[Indice]],TRUE)</f>
        <v>0.1</v>
      </c>
      <c r="I9" s="43" cm="1">
        <f t="array" ref="I9">INDEX(Desc_TabelaToda,MATCH(TB_Vendas[[#This Row],[Qtd]],Desc_Quantidades,1),MATCH(_xlfn.XLOOKUP(TB_Vendas[[#This Row],[Código]],TB_Produtos[[#All],[Código]],TB_Produtos[[#All],[Categoria]]),Desc_Categorias,0))</f>
        <v>0.1</v>
      </c>
      <c r="J9" s="43">
        <f>_xlfn.XLOOKUP(TB_Vendas[[#This Row],[Vendedor]],Vendedores!$A$5:$A$9,Vendedores!$D$5:$D$9)</f>
        <v>0.15</v>
      </c>
      <c r="K9" s="43">
        <f>IF(TB_Vendas[[#This Row],[Desconto 
(Diretão)]]&lt;=TB_Vendas[[#This Row],[Desconto 
(Vendedor)]],TB_Vendas[[#This Row],[Desconto 
(Diretão)]],TB_Vendas[[#This Row],[Desconto 
(Vendedor)]])</f>
        <v>0.1</v>
      </c>
      <c r="L9" s="2">
        <f>TB_Vendas[[#This Row],[Preço Unitário]]*TB_Vendas[[#This Row],[Qtd]]</f>
        <v>29.9</v>
      </c>
      <c r="M9" s="1" t="s">
        <v>114</v>
      </c>
    </row>
    <row r="10" spans="1:13">
      <c r="A10" s="4">
        <f>MONTH(TB_Vendas[[#This Row],[Data]])</f>
        <v>1</v>
      </c>
      <c r="B10" s="3">
        <v>44943</v>
      </c>
      <c r="C10" s="4" t="s">
        <v>55</v>
      </c>
      <c r="D10" s="4" t="str">
        <f>_xlfn.XLOOKUP(TB_Vendas[[#This Row],[Código]],TB_Produtos[Código],TB_Produtos[Categoria])</f>
        <v>Vestuário</v>
      </c>
      <c r="E10" s="1">
        <v>1</v>
      </c>
      <c r="F10" s="7">
        <f>VLOOKUP(TB_Vendas[[#This Row],[Código]],Produtos!$B$6:$G$66,6,0)</f>
        <v>299.89999999999998</v>
      </c>
      <c r="G10" s="1">
        <f>_xlfn.XMATCH(TB_Vendas[[#This Row],[Categoria]],Desc_Categorias,0)</f>
        <v>3</v>
      </c>
      <c r="H10" s="43">
        <f>VLOOKUP(TB_Vendas[[#This Row],[Qtd]],Desc_TabelaToda,TB_Vendas[[#This Row],[Indice]],TRUE)</f>
        <v>0.1</v>
      </c>
      <c r="I10" s="43" cm="1">
        <f t="array" ref="I10">INDEX(Desc_TabelaToda,MATCH(TB_Vendas[[#This Row],[Qtd]],Desc_Quantidades,1),MATCH(_xlfn.XLOOKUP(TB_Vendas[[#This Row],[Código]],TB_Produtos[[#All],[Código]],TB_Produtos[[#All],[Categoria]]),Desc_Categorias,0))</f>
        <v>0.1</v>
      </c>
      <c r="J10" s="43">
        <f>_xlfn.XLOOKUP(TB_Vendas[[#This Row],[Vendedor]],Vendedores!$A$5:$A$9,Vendedores!$D$5:$D$9)</f>
        <v>0.15</v>
      </c>
      <c r="K10" s="43">
        <f>IF(TB_Vendas[[#This Row],[Desconto 
(Diretão)]]&lt;=TB_Vendas[[#This Row],[Desconto 
(Vendedor)]],TB_Vendas[[#This Row],[Desconto 
(Diretão)]],TB_Vendas[[#This Row],[Desconto 
(Vendedor)]])</f>
        <v>0.1</v>
      </c>
      <c r="L10" s="2">
        <f>TB_Vendas[[#This Row],[Preço Unitário]]*TB_Vendas[[#This Row],[Qtd]]</f>
        <v>299.89999999999998</v>
      </c>
      <c r="M10" s="1" t="s">
        <v>117</v>
      </c>
    </row>
    <row r="11" spans="1:13">
      <c r="A11" s="4">
        <f>MONTH(TB_Vendas[[#This Row],[Data]])</f>
        <v>1</v>
      </c>
      <c r="B11" s="3">
        <v>44949</v>
      </c>
      <c r="C11" s="4" t="s">
        <v>69</v>
      </c>
      <c r="D11" s="4" t="str">
        <f>_xlfn.XLOOKUP(TB_Vendas[[#This Row],[Código]],TB_Produtos[Código],TB_Produtos[Categoria])</f>
        <v>Vestuário</v>
      </c>
      <c r="E11" s="1">
        <v>1</v>
      </c>
      <c r="F11" s="7">
        <f>VLOOKUP(TB_Vendas[[#This Row],[Código]],Produtos!$B$6:$G$66,6,0)</f>
        <v>146</v>
      </c>
      <c r="G11" s="1">
        <f>_xlfn.XMATCH(TB_Vendas[[#This Row],[Categoria]],Desc_Categorias,0)</f>
        <v>3</v>
      </c>
      <c r="H11" s="43">
        <f>VLOOKUP(TB_Vendas[[#This Row],[Qtd]],Desc_TabelaToda,TB_Vendas[[#This Row],[Indice]],TRUE)</f>
        <v>0.1</v>
      </c>
      <c r="I11" s="43" cm="1">
        <f t="array" ref="I11">INDEX(Desc_TabelaToda,MATCH(TB_Vendas[[#This Row],[Qtd]],Desc_Quantidades,1),MATCH(_xlfn.XLOOKUP(TB_Vendas[[#This Row],[Código]],TB_Produtos[[#All],[Código]],TB_Produtos[[#All],[Categoria]]),Desc_Categorias,0))</f>
        <v>0.1</v>
      </c>
      <c r="J11" s="43">
        <f>_xlfn.XLOOKUP(TB_Vendas[[#This Row],[Vendedor]],Vendedores!$A$5:$A$9,Vendedores!$D$5:$D$9)</f>
        <v>0.1</v>
      </c>
      <c r="K11" s="43">
        <f>IF(TB_Vendas[[#This Row],[Desconto 
(Diretão)]]&lt;=TB_Vendas[[#This Row],[Desconto 
(Vendedor)]],TB_Vendas[[#This Row],[Desconto 
(Diretão)]],TB_Vendas[[#This Row],[Desconto 
(Vendedor)]])</f>
        <v>0.1</v>
      </c>
      <c r="L11" s="2">
        <f>TB_Vendas[[#This Row],[Preço Unitário]]*TB_Vendas[[#This Row],[Qtd]]</f>
        <v>146</v>
      </c>
      <c r="M11" s="1" t="s">
        <v>115</v>
      </c>
    </row>
    <row r="12" spans="1:13">
      <c r="A12" s="4">
        <f>MONTH(TB_Vendas[[#This Row],[Data]])</f>
        <v>1</v>
      </c>
      <c r="B12" s="3">
        <v>44952</v>
      </c>
      <c r="C12" s="4" t="s">
        <v>64</v>
      </c>
      <c r="D12" s="4" t="str">
        <f>_xlfn.XLOOKUP(TB_Vendas[[#This Row],[Código]],TB_Produtos[Código],TB_Produtos[Categoria])</f>
        <v>Vestuário</v>
      </c>
      <c r="E12" s="1">
        <v>2</v>
      </c>
      <c r="F12" s="7">
        <f>VLOOKUP(TB_Vendas[[#This Row],[Código]],Produtos!$B$6:$G$66,6,0)</f>
        <v>89.9</v>
      </c>
      <c r="G12" s="1">
        <f>_xlfn.XMATCH(TB_Vendas[[#This Row],[Categoria]],Desc_Categorias,0)</f>
        <v>3</v>
      </c>
      <c r="H12" s="43">
        <f>VLOOKUP(TB_Vendas[[#This Row],[Qtd]],Desc_TabelaToda,TB_Vendas[[#This Row],[Indice]],TRUE)</f>
        <v>0.15</v>
      </c>
      <c r="I12" s="43" cm="1">
        <f t="array" ref="I12">INDEX(Desc_TabelaToda,MATCH(TB_Vendas[[#This Row],[Qtd]],Desc_Quantidades,1),MATCH(_xlfn.XLOOKUP(TB_Vendas[[#This Row],[Código]],TB_Produtos[[#All],[Código]],TB_Produtos[[#All],[Categoria]]),Desc_Categorias,0))</f>
        <v>0.15</v>
      </c>
      <c r="J12" s="43">
        <f>_xlfn.XLOOKUP(TB_Vendas[[#This Row],[Vendedor]],Vendedores!$A$5:$A$9,Vendedores!$D$5:$D$9)</f>
        <v>0.1</v>
      </c>
      <c r="K12" s="43">
        <f>IF(TB_Vendas[[#This Row],[Desconto 
(Diretão)]]&lt;=TB_Vendas[[#This Row],[Desconto 
(Vendedor)]],TB_Vendas[[#This Row],[Desconto 
(Diretão)]],TB_Vendas[[#This Row],[Desconto 
(Vendedor)]])</f>
        <v>0.1</v>
      </c>
      <c r="L12" s="2">
        <f>TB_Vendas[[#This Row],[Preço Unitário]]*TB_Vendas[[#This Row],[Qtd]]</f>
        <v>179.8</v>
      </c>
      <c r="M12" s="1" t="s">
        <v>115</v>
      </c>
    </row>
    <row r="13" spans="1:13">
      <c r="A13" s="4">
        <f>MONTH(TB_Vendas[[#This Row],[Data]])</f>
        <v>1</v>
      </c>
      <c r="B13" s="3">
        <v>44954</v>
      </c>
      <c r="C13" s="4" t="s">
        <v>62</v>
      </c>
      <c r="D13" s="4" t="str">
        <f>_xlfn.XLOOKUP(TB_Vendas[[#This Row],[Código]],TB_Produtos[Código],TB_Produtos[Categoria])</f>
        <v>Calçado</v>
      </c>
      <c r="E13" s="1">
        <v>2</v>
      </c>
      <c r="F13" s="7">
        <f>VLOOKUP(TB_Vendas[[#This Row],[Código]],Produtos!$B$6:$G$66,6,0)</f>
        <v>250</v>
      </c>
      <c r="G13" s="1">
        <f>_xlfn.XMATCH(TB_Vendas[[#This Row],[Categoria]],Desc_Categorias,0)</f>
        <v>4</v>
      </c>
      <c r="H13" s="43">
        <f>VLOOKUP(TB_Vendas[[#This Row],[Qtd]],Desc_TabelaToda,TB_Vendas[[#This Row],[Indice]],TRUE)</f>
        <v>0.1</v>
      </c>
      <c r="I13" s="43" cm="1">
        <f t="array" ref="I13">INDEX(Desc_TabelaToda,MATCH(TB_Vendas[[#This Row],[Qtd]],Desc_Quantidades,1),MATCH(_xlfn.XLOOKUP(TB_Vendas[[#This Row],[Código]],TB_Produtos[[#All],[Código]],TB_Produtos[[#All],[Categoria]]),Desc_Categorias,0))</f>
        <v>0.1</v>
      </c>
      <c r="J13" s="43">
        <f>_xlfn.XLOOKUP(TB_Vendas[[#This Row],[Vendedor]],Vendedores!$A$5:$A$9,Vendedores!$D$5:$D$9)</f>
        <v>0.15</v>
      </c>
      <c r="K13" s="43">
        <f>IF(TB_Vendas[[#This Row],[Desconto 
(Diretão)]]&lt;=TB_Vendas[[#This Row],[Desconto 
(Vendedor)]],TB_Vendas[[#This Row],[Desconto 
(Diretão)]],TB_Vendas[[#This Row],[Desconto 
(Vendedor)]])</f>
        <v>0.1</v>
      </c>
      <c r="L13" s="2">
        <f>TB_Vendas[[#This Row],[Preço Unitário]]*TB_Vendas[[#This Row],[Qtd]]</f>
        <v>500</v>
      </c>
      <c r="M13" s="1" t="s">
        <v>114</v>
      </c>
    </row>
    <row r="14" spans="1:13">
      <c r="A14" s="4">
        <f>MONTH(TB_Vendas[[#This Row],[Data]])</f>
        <v>1</v>
      </c>
      <c r="B14" s="3">
        <v>44955</v>
      </c>
      <c r="C14" s="4" t="s">
        <v>43</v>
      </c>
      <c r="D14" s="4" t="str">
        <f>_xlfn.XLOOKUP(TB_Vendas[[#This Row],[Código]],TB_Produtos[Código],TB_Produtos[Categoria])</f>
        <v>Vestuário</v>
      </c>
      <c r="E14" s="1">
        <v>1</v>
      </c>
      <c r="F14" s="7">
        <f>VLOOKUP(TB_Vendas[[#This Row],[Código]],Produtos!$B$6:$G$66,6,0)</f>
        <v>39.9</v>
      </c>
      <c r="G14" s="1">
        <f>_xlfn.XMATCH(TB_Vendas[[#This Row],[Categoria]],Desc_Categorias,0)</f>
        <v>3</v>
      </c>
      <c r="H14" s="43">
        <f>VLOOKUP(TB_Vendas[[#This Row],[Qtd]],Desc_TabelaToda,TB_Vendas[[#This Row],[Indice]],TRUE)</f>
        <v>0.1</v>
      </c>
      <c r="I14" s="43" cm="1">
        <f t="array" ref="I14">INDEX(Desc_TabelaToda,MATCH(TB_Vendas[[#This Row],[Qtd]],Desc_Quantidades,1),MATCH(_xlfn.XLOOKUP(TB_Vendas[[#This Row],[Código]],TB_Produtos[[#All],[Código]],TB_Produtos[[#All],[Categoria]]),Desc_Categorias,0))</f>
        <v>0.1</v>
      </c>
      <c r="J14" s="43">
        <f>_xlfn.XLOOKUP(TB_Vendas[[#This Row],[Vendedor]],Vendedores!$A$5:$A$9,Vendedores!$D$5:$D$9)</f>
        <v>0.15</v>
      </c>
      <c r="K14" s="43">
        <f>IF(TB_Vendas[[#This Row],[Desconto 
(Diretão)]]&lt;=TB_Vendas[[#This Row],[Desconto 
(Vendedor)]],TB_Vendas[[#This Row],[Desconto 
(Diretão)]],TB_Vendas[[#This Row],[Desconto 
(Vendedor)]])</f>
        <v>0.1</v>
      </c>
      <c r="L14" s="2">
        <f>TB_Vendas[[#This Row],[Preço Unitário]]*TB_Vendas[[#This Row],[Qtd]]</f>
        <v>39.9</v>
      </c>
      <c r="M14" s="1" t="s">
        <v>114</v>
      </c>
    </row>
    <row r="15" spans="1:13">
      <c r="A15" s="4">
        <f>MONTH(TB_Vendas[[#This Row],[Data]])</f>
        <v>1</v>
      </c>
      <c r="B15" s="3">
        <v>44956</v>
      </c>
      <c r="C15" s="4" t="s">
        <v>68</v>
      </c>
      <c r="D15" s="4" t="str">
        <f>_xlfn.XLOOKUP(TB_Vendas[[#This Row],[Código]],TB_Produtos[Código],TB_Produtos[Categoria])</f>
        <v>Vestuário</v>
      </c>
      <c r="E15" s="1">
        <v>1</v>
      </c>
      <c r="F15" s="7">
        <f>VLOOKUP(TB_Vendas[[#This Row],[Código]],Produtos!$B$6:$G$66,6,0)</f>
        <v>142.9</v>
      </c>
      <c r="G15" s="1">
        <f>_xlfn.XMATCH(TB_Vendas[[#This Row],[Categoria]],Desc_Categorias,0)</f>
        <v>3</v>
      </c>
      <c r="H15" s="43">
        <f>VLOOKUP(TB_Vendas[[#This Row],[Qtd]],Desc_TabelaToda,TB_Vendas[[#This Row],[Indice]],TRUE)</f>
        <v>0.1</v>
      </c>
      <c r="I15" s="43" cm="1">
        <f t="array" ref="I15">INDEX(Desc_TabelaToda,MATCH(TB_Vendas[[#This Row],[Qtd]],Desc_Quantidades,1),MATCH(_xlfn.XLOOKUP(TB_Vendas[[#This Row],[Código]],TB_Produtos[[#All],[Código]],TB_Produtos[[#All],[Categoria]]),Desc_Categorias,0))</f>
        <v>0.1</v>
      </c>
      <c r="J15" s="43">
        <f>_xlfn.XLOOKUP(TB_Vendas[[#This Row],[Vendedor]],Vendedores!$A$5:$A$9,Vendedores!$D$5:$D$9)</f>
        <v>0.2</v>
      </c>
      <c r="K15" s="43">
        <f>IF(TB_Vendas[[#This Row],[Desconto 
(Diretão)]]&lt;=TB_Vendas[[#This Row],[Desconto 
(Vendedor)]],TB_Vendas[[#This Row],[Desconto 
(Diretão)]],TB_Vendas[[#This Row],[Desconto 
(Vendedor)]])</f>
        <v>0.1</v>
      </c>
      <c r="L15" s="2">
        <f>TB_Vendas[[#This Row],[Preço Unitário]]*TB_Vendas[[#This Row],[Qtd]]</f>
        <v>142.9</v>
      </c>
      <c r="M15" s="1" t="s">
        <v>116</v>
      </c>
    </row>
    <row r="16" spans="1:13">
      <c r="A16" s="4">
        <f>MONTH(TB_Vendas[[#This Row],[Data]])</f>
        <v>2</v>
      </c>
      <c r="B16" s="3">
        <v>44960</v>
      </c>
      <c r="C16" s="4" t="s">
        <v>52</v>
      </c>
      <c r="D16" s="4" t="str">
        <f>_xlfn.XLOOKUP(TB_Vendas[[#This Row],[Código]],TB_Produtos[Código],TB_Produtos[Categoria])</f>
        <v>Vestuário</v>
      </c>
      <c r="E16" s="1">
        <v>1</v>
      </c>
      <c r="F16" s="7">
        <f>VLOOKUP(TB_Vendas[[#This Row],[Código]],Produtos!$B$6:$G$66,6,0)</f>
        <v>300</v>
      </c>
      <c r="G16" s="1">
        <f>_xlfn.XMATCH(TB_Vendas[[#This Row],[Categoria]],Desc_Categorias,0)</f>
        <v>3</v>
      </c>
      <c r="H16" s="43">
        <f>VLOOKUP(TB_Vendas[[#This Row],[Qtd]],Desc_TabelaToda,TB_Vendas[[#This Row],[Indice]],TRUE)</f>
        <v>0.1</v>
      </c>
      <c r="I16" s="43" cm="1">
        <f t="array" ref="I16">INDEX(Desc_TabelaToda,MATCH(TB_Vendas[[#This Row],[Qtd]],Desc_Quantidades,1),MATCH(_xlfn.XLOOKUP(TB_Vendas[[#This Row],[Código]],TB_Produtos[[#All],[Código]],TB_Produtos[[#All],[Categoria]]),Desc_Categorias,0))</f>
        <v>0.1</v>
      </c>
      <c r="J16" s="43">
        <f>_xlfn.XLOOKUP(TB_Vendas[[#This Row],[Vendedor]],Vendedores!$A$5:$A$9,Vendedores!$D$5:$D$9)</f>
        <v>0.1</v>
      </c>
      <c r="K16" s="43">
        <f>IF(TB_Vendas[[#This Row],[Desconto 
(Diretão)]]&lt;=TB_Vendas[[#This Row],[Desconto 
(Vendedor)]],TB_Vendas[[#This Row],[Desconto 
(Diretão)]],TB_Vendas[[#This Row],[Desconto 
(Vendedor)]])</f>
        <v>0.1</v>
      </c>
      <c r="L16" s="2">
        <f>TB_Vendas[[#This Row],[Preço Unitário]]*TB_Vendas[[#This Row],[Qtd]]</f>
        <v>300</v>
      </c>
      <c r="M16" s="1" t="s">
        <v>115</v>
      </c>
    </row>
    <row r="17" spans="1:13">
      <c r="A17" s="4">
        <f>MONTH(TB_Vendas[[#This Row],[Data]])</f>
        <v>2</v>
      </c>
      <c r="B17" s="3">
        <v>44962</v>
      </c>
      <c r="C17" s="4" t="s">
        <v>93</v>
      </c>
      <c r="D17" s="4" t="str">
        <f>_xlfn.XLOOKUP(TB_Vendas[[#This Row],[Código]],TB_Produtos[Código],TB_Produtos[Categoria])</f>
        <v>Vestuário</v>
      </c>
      <c r="E17" s="1">
        <v>2</v>
      </c>
      <c r="F17" s="7">
        <f>VLOOKUP(TB_Vendas[[#This Row],[Código]],Produtos!$B$6:$G$66,6,0)</f>
        <v>289.89999999999998</v>
      </c>
      <c r="G17" s="1">
        <f>_xlfn.XMATCH(TB_Vendas[[#This Row],[Categoria]],Desc_Categorias,0)</f>
        <v>3</v>
      </c>
      <c r="H17" s="43">
        <f>VLOOKUP(TB_Vendas[[#This Row],[Qtd]],Desc_TabelaToda,TB_Vendas[[#This Row],[Indice]],TRUE)</f>
        <v>0.15</v>
      </c>
      <c r="I17" s="43" cm="1">
        <f t="array" ref="I17">INDEX(Desc_TabelaToda,MATCH(TB_Vendas[[#This Row],[Qtd]],Desc_Quantidades,1),MATCH(_xlfn.XLOOKUP(TB_Vendas[[#This Row],[Código]],TB_Produtos[[#All],[Código]],TB_Produtos[[#All],[Categoria]]),Desc_Categorias,0))</f>
        <v>0.15</v>
      </c>
      <c r="J17" s="43">
        <f>_xlfn.XLOOKUP(TB_Vendas[[#This Row],[Vendedor]],Vendedores!$A$5:$A$9,Vendedores!$D$5:$D$9)</f>
        <v>0.2</v>
      </c>
      <c r="K17" s="43">
        <f>IF(TB_Vendas[[#This Row],[Desconto 
(Diretão)]]&lt;=TB_Vendas[[#This Row],[Desconto 
(Vendedor)]],TB_Vendas[[#This Row],[Desconto 
(Diretão)]],TB_Vendas[[#This Row],[Desconto 
(Vendedor)]])</f>
        <v>0.15</v>
      </c>
      <c r="L17" s="2">
        <f>TB_Vendas[[#This Row],[Preço Unitário]]*TB_Vendas[[#This Row],[Qtd]]</f>
        <v>579.79999999999995</v>
      </c>
      <c r="M17" s="1" t="s">
        <v>116</v>
      </c>
    </row>
    <row r="18" spans="1:13">
      <c r="A18" s="4">
        <f>MONTH(TB_Vendas[[#This Row],[Data]])</f>
        <v>2</v>
      </c>
      <c r="B18" s="3">
        <v>44975</v>
      </c>
      <c r="C18" s="4" t="s">
        <v>58</v>
      </c>
      <c r="D18" s="4" t="str">
        <f>_xlfn.XLOOKUP(TB_Vendas[[#This Row],[Código]],TB_Produtos[Código],TB_Produtos[Categoria])</f>
        <v>Calçado</v>
      </c>
      <c r="E18" s="1">
        <v>1</v>
      </c>
      <c r="F18" s="7">
        <f>VLOOKUP(TB_Vendas[[#This Row],[Código]],Produtos!$B$6:$G$66,6,0)</f>
        <v>249.9</v>
      </c>
      <c r="G18" s="1">
        <f>_xlfn.XMATCH(TB_Vendas[[#This Row],[Categoria]],Desc_Categorias,0)</f>
        <v>4</v>
      </c>
      <c r="H18" s="43">
        <f>VLOOKUP(TB_Vendas[[#This Row],[Qtd]],Desc_TabelaToda,TB_Vendas[[#This Row],[Indice]],TRUE)</f>
        <v>0</v>
      </c>
      <c r="I18" s="43" cm="1">
        <f t="array" ref="I18">INDEX(Desc_TabelaToda,MATCH(TB_Vendas[[#This Row],[Qtd]],Desc_Quantidades,1),MATCH(_xlfn.XLOOKUP(TB_Vendas[[#This Row],[Código]],TB_Produtos[[#All],[Código]],TB_Produtos[[#All],[Categoria]]),Desc_Categorias,0))</f>
        <v>0</v>
      </c>
      <c r="J18" s="43">
        <f>_xlfn.XLOOKUP(TB_Vendas[[#This Row],[Vendedor]],Vendedores!$A$5:$A$9,Vendedores!$D$5:$D$9)</f>
        <v>0.2</v>
      </c>
      <c r="K18" s="43">
        <f>IF(TB_Vendas[[#This Row],[Desconto 
(Diretão)]]&lt;=TB_Vendas[[#This Row],[Desconto 
(Vendedor)]],TB_Vendas[[#This Row],[Desconto 
(Diretão)]],TB_Vendas[[#This Row],[Desconto 
(Vendedor)]])</f>
        <v>0</v>
      </c>
      <c r="L18" s="2">
        <f>TB_Vendas[[#This Row],[Preço Unitário]]*TB_Vendas[[#This Row],[Qtd]]</f>
        <v>249.9</v>
      </c>
      <c r="M18" s="1" t="s">
        <v>116</v>
      </c>
    </row>
    <row r="19" spans="1:13">
      <c r="A19" s="4">
        <f>MONTH(TB_Vendas[[#This Row],[Data]])</f>
        <v>2</v>
      </c>
      <c r="B19" s="3">
        <v>44978</v>
      </c>
      <c r="C19" s="4" t="s">
        <v>43</v>
      </c>
      <c r="D19" s="4" t="str">
        <f>_xlfn.XLOOKUP(TB_Vendas[[#This Row],[Código]],TB_Produtos[Código],TB_Produtos[Categoria])</f>
        <v>Vestuário</v>
      </c>
      <c r="E19" s="1">
        <v>2</v>
      </c>
      <c r="F19" s="7">
        <f>VLOOKUP(TB_Vendas[[#This Row],[Código]],Produtos!$B$6:$G$66,6,0)</f>
        <v>39.9</v>
      </c>
      <c r="G19" s="1">
        <f>_xlfn.XMATCH(TB_Vendas[[#This Row],[Categoria]],Desc_Categorias,0)</f>
        <v>3</v>
      </c>
      <c r="H19" s="43">
        <f>VLOOKUP(TB_Vendas[[#This Row],[Qtd]],Desc_TabelaToda,TB_Vendas[[#This Row],[Indice]],TRUE)</f>
        <v>0.15</v>
      </c>
      <c r="I19" s="43" cm="1">
        <f t="array" ref="I19">INDEX(Desc_TabelaToda,MATCH(TB_Vendas[[#This Row],[Qtd]],Desc_Quantidades,1),MATCH(_xlfn.XLOOKUP(TB_Vendas[[#This Row],[Código]],TB_Produtos[[#All],[Código]],TB_Produtos[[#All],[Categoria]]),Desc_Categorias,0))</f>
        <v>0.15</v>
      </c>
      <c r="J19" s="43">
        <f>_xlfn.XLOOKUP(TB_Vendas[[#This Row],[Vendedor]],Vendedores!$A$5:$A$9,Vendedores!$D$5:$D$9)</f>
        <v>0.2</v>
      </c>
      <c r="K19" s="43">
        <f>IF(TB_Vendas[[#This Row],[Desconto 
(Diretão)]]&lt;=TB_Vendas[[#This Row],[Desconto 
(Vendedor)]],TB_Vendas[[#This Row],[Desconto 
(Diretão)]],TB_Vendas[[#This Row],[Desconto 
(Vendedor)]])</f>
        <v>0.15</v>
      </c>
      <c r="L19" s="2">
        <f>TB_Vendas[[#This Row],[Preço Unitário]]*TB_Vendas[[#This Row],[Qtd]]</f>
        <v>79.8</v>
      </c>
      <c r="M19" s="1" t="s">
        <v>116</v>
      </c>
    </row>
    <row r="20" spans="1:13">
      <c r="A20" s="4">
        <f>MONTH(TB_Vendas[[#This Row],[Data]])</f>
        <v>2</v>
      </c>
      <c r="B20" s="3">
        <v>44981</v>
      </c>
      <c r="C20" s="4" t="s">
        <v>90</v>
      </c>
      <c r="D20" s="4" t="str">
        <f>_xlfn.XLOOKUP(TB_Vendas[[#This Row],[Código]],TB_Produtos[Código],TB_Produtos[Categoria])</f>
        <v>Vestuário</v>
      </c>
      <c r="E20" s="1">
        <v>4</v>
      </c>
      <c r="F20" s="7">
        <f>VLOOKUP(TB_Vendas[[#This Row],[Código]],Produtos!$B$6:$G$66,6,0)</f>
        <v>289.89999999999998</v>
      </c>
      <c r="G20" s="1">
        <f>_xlfn.XMATCH(TB_Vendas[[#This Row],[Categoria]],Desc_Categorias,0)</f>
        <v>3</v>
      </c>
      <c r="H20" s="43">
        <f>VLOOKUP(TB_Vendas[[#This Row],[Qtd]],Desc_TabelaToda,TB_Vendas[[#This Row],[Indice]],TRUE)</f>
        <v>0.2</v>
      </c>
      <c r="I20" s="43" cm="1">
        <f t="array" ref="I20">INDEX(Desc_TabelaToda,MATCH(TB_Vendas[[#This Row],[Qtd]],Desc_Quantidades,1),MATCH(_xlfn.XLOOKUP(TB_Vendas[[#This Row],[Código]],TB_Produtos[[#All],[Código]],TB_Produtos[[#All],[Categoria]]),Desc_Categorias,0))</f>
        <v>0.2</v>
      </c>
      <c r="J20" s="43">
        <f>_xlfn.XLOOKUP(TB_Vendas[[#This Row],[Vendedor]],Vendedores!$A$5:$A$9,Vendedores!$D$5:$D$9)</f>
        <v>0.2</v>
      </c>
      <c r="K20" s="43">
        <f>IF(TB_Vendas[[#This Row],[Desconto 
(Diretão)]]&lt;=TB_Vendas[[#This Row],[Desconto 
(Vendedor)]],TB_Vendas[[#This Row],[Desconto 
(Diretão)]],TB_Vendas[[#This Row],[Desconto 
(Vendedor)]])</f>
        <v>0.2</v>
      </c>
      <c r="L20" s="2">
        <f>TB_Vendas[[#This Row],[Preço Unitário]]*TB_Vendas[[#This Row],[Qtd]]</f>
        <v>1159.5999999999999</v>
      </c>
      <c r="M20" s="1" t="s">
        <v>116</v>
      </c>
    </row>
    <row r="21" spans="1:13">
      <c r="A21" s="4">
        <f>MONTH(TB_Vendas[[#This Row],[Data]])</f>
        <v>2</v>
      </c>
      <c r="B21" s="3">
        <v>44982</v>
      </c>
      <c r="C21" s="4" t="s">
        <v>110</v>
      </c>
      <c r="D21" s="4" t="str">
        <f>_xlfn.XLOOKUP(TB_Vendas[[#This Row],[Código]],TB_Produtos[Código],TB_Produtos[Categoria])</f>
        <v>Vestuário</v>
      </c>
      <c r="E21" s="1">
        <v>3</v>
      </c>
      <c r="F21" s="7">
        <f>VLOOKUP(TB_Vendas[[#This Row],[Código]],Produtos!$B$6:$G$66,6,0)</f>
        <v>180</v>
      </c>
      <c r="G21" s="1">
        <f>_xlfn.XMATCH(TB_Vendas[[#This Row],[Categoria]],Desc_Categorias,0)</f>
        <v>3</v>
      </c>
      <c r="H21" s="43">
        <f>VLOOKUP(TB_Vendas[[#This Row],[Qtd]],Desc_TabelaToda,TB_Vendas[[#This Row],[Indice]],TRUE)</f>
        <v>0.2</v>
      </c>
      <c r="I21" s="43" cm="1">
        <f t="array" ref="I21">INDEX(Desc_TabelaToda,MATCH(TB_Vendas[[#This Row],[Qtd]],Desc_Quantidades,1),MATCH(_xlfn.XLOOKUP(TB_Vendas[[#This Row],[Código]],TB_Produtos[[#All],[Código]],TB_Produtos[[#All],[Categoria]]),Desc_Categorias,0))</f>
        <v>0.2</v>
      </c>
      <c r="J21" s="43">
        <f>_xlfn.XLOOKUP(TB_Vendas[[#This Row],[Vendedor]],Vendedores!$A$5:$A$9,Vendedores!$D$5:$D$9)</f>
        <v>0.15</v>
      </c>
      <c r="K21" s="43">
        <f>IF(TB_Vendas[[#This Row],[Desconto 
(Diretão)]]&lt;=TB_Vendas[[#This Row],[Desconto 
(Vendedor)]],TB_Vendas[[#This Row],[Desconto 
(Diretão)]],TB_Vendas[[#This Row],[Desconto 
(Vendedor)]])</f>
        <v>0.15</v>
      </c>
      <c r="L21" s="2">
        <f>TB_Vendas[[#This Row],[Preço Unitário]]*TB_Vendas[[#This Row],[Qtd]]</f>
        <v>540</v>
      </c>
      <c r="M21" s="1" t="s">
        <v>114</v>
      </c>
    </row>
    <row r="22" spans="1:13">
      <c r="A22" s="4">
        <f>MONTH(TB_Vendas[[#This Row],[Data]])</f>
        <v>2</v>
      </c>
      <c r="B22" s="3">
        <v>44983</v>
      </c>
      <c r="C22" s="4" t="s">
        <v>96</v>
      </c>
      <c r="D22" s="4" t="str">
        <f>_xlfn.XLOOKUP(TB_Vendas[[#This Row],[Código]],TB_Produtos[Código],TB_Produtos[Categoria])</f>
        <v>Vestuário</v>
      </c>
      <c r="E22" s="1">
        <v>2</v>
      </c>
      <c r="F22" s="7">
        <f>VLOOKUP(TB_Vendas[[#This Row],[Código]],Produtos!$B$6:$G$66,6,0)</f>
        <v>32.9</v>
      </c>
      <c r="G22" s="1">
        <f>_xlfn.XMATCH(TB_Vendas[[#This Row],[Categoria]],Desc_Categorias,0)</f>
        <v>3</v>
      </c>
      <c r="H22" s="43">
        <f>VLOOKUP(TB_Vendas[[#This Row],[Qtd]],Desc_TabelaToda,TB_Vendas[[#This Row],[Indice]],TRUE)</f>
        <v>0.15</v>
      </c>
      <c r="I22" s="43" cm="1">
        <f t="array" ref="I22">INDEX(Desc_TabelaToda,MATCH(TB_Vendas[[#This Row],[Qtd]],Desc_Quantidades,1),MATCH(_xlfn.XLOOKUP(TB_Vendas[[#This Row],[Código]],TB_Produtos[[#All],[Código]],TB_Produtos[[#All],[Categoria]]),Desc_Categorias,0))</f>
        <v>0.15</v>
      </c>
      <c r="J22" s="43">
        <f>_xlfn.XLOOKUP(TB_Vendas[[#This Row],[Vendedor]],Vendedores!$A$5:$A$9,Vendedores!$D$5:$D$9)</f>
        <v>0.2</v>
      </c>
      <c r="K22" s="43">
        <f>IF(TB_Vendas[[#This Row],[Desconto 
(Diretão)]]&lt;=TB_Vendas[[#This Row],[Desconto 
(Vendedor)]],TB_Vendas[[#This Row],[Desconto 
(Diretão)]],TB_Vendas[[#This Row],[Desconto 
(Vendedor)]])</f>
        <v>0.15</v>
      </c>
      <c r="L22" s="2">
        <f>TB_Vendas[[#This Row],[Preço Unitário]]*TB_Vendas[[#This Row],[Qtd]]</f>
        <v>65.8</v>
      </c>
      <c r="M22" s="1" t="s">
        <v>113</v>
      </c>
    </row>
    <row r="23" spans="1:13">
      <c r="A23" s="4">
        <f>MONTH(TB_Vendas[[#This Row],[Data]])</f>
        <v>3</v>
      </c>
      <c r="B23" s="3">
        <v>44986</v>
      </c>
      <c r="C23" s="4" t="s">
        <v>59</v>
      </c>
      <c r="D23" s="4" t="str">
        <f>_xlfn.XLOOKUP(TB_Vendas[[#This Row],[Código]],TB_Produtos[Código],TB_Produtos[Categoria])</f>
        <v>Calçado</v>
      </c>
      <c r="E23" s="1">
        <v>3</v>
      </c>
      <c r="F23" s="7">
        <f>VLOOKUP(TB_Vendas[[#This Row],[Código]],Produtos!$B$6:$G$66,6,0)</f>
        <v>255</v>
      </c>
      <c r="G23" s="1">
        <f>_xlfn.XMATCH(TB_Vendas[[#This Row],[Categoria]],Desc_Categorias,0)</f>
        <v>4</v>
      </c>
      <c r="H23" s="43">
        <f>VLOOKUP(TB_Vendas[[#This Row],[Qtd]],Desc_TabelaToda,TB_Vendas[[#This Row],[Indice]],TRUE)</f>
        <v>0.15</v>
      </c>
      <c r="I23" s="43" cm="1">
        <f t="array" ref="I23">INDEX(Desc_TabelaToda,MATCH(TB_Vendas[[#This Row],[Qtd]],Desc_Quantidades,1),MATCH(_xlfn.XLOOKUP(TB_Vendas[[#This Row],[Código]],TB_Produtos[[#All],[Código]],TB_Produtos[[#All],[Categoria]]),Desc_Categorias,0))</f>
        <v>0.15</v>
      </c>
      <c r="J23" s="43">
        <f>_xlfn.XLOOKUP(TB_Vendas[[#This Row],[Vendedor]],Vendedores!$A$5:$A$9,Vendedores!$D$5:$D$9)</f>
        <v>0.2</v>
      </c>
      <c r="K23" s="43">
        <f>IF(TB_Vendas[[#This Row],[Desconto 
(Diretão)]]&lt;=TB_Vendas[[#This Row],[Desconto 
(Vendedor)]],TB_Vendas[[#This Row],[Desconto 
(Diretão)]],TB_Vendas[[#This Row],[Desconto 
(Vendedor)]])</f>
        <v>0.15</v>
      </c>
      <c r="L23" s="2">
        <f>TB_Vendas[[#This Row],[Preço Unitário]]*TB_Vendas[[#This Row],[Qtd]]</f>
        <v>765</v>
      </c>
      <c r="M23" s="1" t="s">
        <v>116</v>
      </c>
    </row>
    <row r="24" spans="1:13">
      <c r="A24" s="4">
        <f>MONTH(TB_Vendas[[#This Row],[Data]])</f>
        <v>3</v>
      </c>
      <c r="B24" s="3">
        <v>44986</v>
      </c>
      <c r="C24" s="4" t="s">
        <v>68</v>
      </c>
      <c r="D24" s="4" t="str">
        <f>_xlfn.XLOOKUP(TB_Vendas[[#This Row],[Código]],TB_Produtos[Código],TB_Produtos[Categoria])</f>
        <v>Vestuário</v>
      </c>
      <c r="E24" s="1">
        <v>1</v>
      </c>
      <c r="F24" s="7">
        <f>VLOOKUP(TB_Vendas[[#This Row],[Código]],Produtos!$B$6:$G$66,6,0)</f>
        <v>142.9</v>
      </c>
      <c r="G24" s="1">
        <f>_xlfn.XMATCH(TB_Vendas[[#This Row],[Categoria]],Desc_Categorias,0)</f>
        <v>3</v>
      </c>
      <c r="H24" s="43">
        <f>VLOOKUP(TB_Vendas[[#This Row],[Qtd]],Desc_TabelaToda,TB_Vendas[[#This Row],[Indice]],TRUE)</f>
        <v>0.1</v>
      </c>
      <c r="I24" s="43" cm="1">
        <f t="array" ref="I24">INDEX(Desc_TabelaToda,MATCH(TB_Vendas[[#This Row],[Qtd]],Desc_Quantidades,1),MATCH(_xlfn.XLOOKUP(TB_Vendas[[#This Row],[Código]],TB_Produtos[[#All],[Código]],TB_Produtos[[#All],[Categoria]]),Desc_Categorias,0))</f>
        <v>0.1</v>
      </c>
      <c r="J24" s="43">
        <f>_xlfn.XLOOKUP(TB_Vendas[[#This Row],[Vendedor]],Vendedores!$A$5:$A$9,Vendedores!$D$5:$D$9)</f>
        <v>0.2</v>
      </c>
      <c r="K24" s="43">
        <f>IF(TB_Vendas[[#This Row],[Desconto 
(Diretão)]]&lt;=TB_Vendas[[#This Row],[Desconto 
(Vendedor)]],TB_Vendas[[#This Row],[Desconto 
(Diretão)]],TB_Vendas[[#This Row],[Desconto 
(Vendedor)]])</f>
        <v>0.1</v>
      </c>
      <c r="L24" s="2">
        <f>TB_Vendas[[#This Row],[Preço Unitário]]*TB_Vendas[[#This Row],[Qtd]]</f>
        <v>142.9</v>
      </c>
      <c r="M24" s="1" t="s">
        <v>113</v>
      </c>
    </row>
    <row r="25" spans="1:13">
      <c r="A25" s="4">
        <f>MONTH(TB_Vendas[[#This Row],[Data]])</f>
        <v>3</v>
      </c>
      <c r="B25" s="3">
        <v>44987</v>
      </c>
      <c r="C25" s="4" t="s">
        <v>39</v>
      </c>
      <c r="D25" s="4" t="str">
        <f>_xlfn.XLOOKUP(TB_Vendas[[#This Row],[Código]],TB_Produtos[Código],TB_Produtos[Categoria])</f>
        <v>Vestuário</v>
      </c>
      <c r="E25" s="1">
        <v>4</v>
      </c>
      <c r="F25" s="7">
        <f>VLOOKUP(TB_Vendas[[#This Row],[Código]],Produtos!$B$6:$G$66,6,0)</f>
        <v>92.9</v>
      </c>
      <c r="G25" s="1">
        <f>_xlfn.XMATCH(TB_Vendas[[#This Row],[Categoria]],Desc_Categorias,0)</f>
        <v>3</v>
      </c>
      <c r="H25" s="43">
        <f>VLOOKUP(TB_Vendas[[#This Row],[Qtd]],Desc_TabelaToda,TB_Vendas[[#This Row],[Indice]],TRUE)</f>
        <v>0.2</v>
      </c>
      <c r="I25" s="43" cm="1">
        <f t="array" ref="I25">INDEX(Desc_TabelaToda,MATCH(TB_Vendas[[#This Row],[Qtd]],Desc_Quantidades,1),MATCH(_xlfn.XLOOKUP(TB_Vendas[[#This Row],[Código]],TB_Produtos[[#All],[Código]],TB_Produtos[[#All],[Categoria]]),Desc_Categorias,0))</f>
        <v>0.2</v>
      </c>
      <c r="J25" s="43">
        <f>_xlfn.XLOOKUP(TB_Vendas[[#This Row],[Vendedor]],Vendedores!$A$5:$A$9,Vendedores!$D$5:$D$9)</f>
        <v>0.1</v>
      </c>
      <c r="K25" s="43">
        <f>IF(TB_Vendas[[#This Row],[Desconto 
(Diretão)]]&lt;=TB_Vendas[[#This Row],[Desconto 
(Vendedor)]],TB_Vendas[[#This Row],[Desconto 
(Diretão)]],TB_Vendas[[#This Row],[Desconto 
(Vendedor)]])</f>
        <v>0.1</v>
      </c>
      <c r="L25" s="2">
        <f>TB_Vendas[[#This Row],[Preço Unitário]]*TB_Vendas[[#This Row],[Qtd]]</f>
        <v>371.6</v>
      </c>
      <c r="M25" s="1" t="s">
        <v>115</v>
      </c>
    </row>
    <row r="26" spans="1:13">
      <c r="A26" s="4">
        <f>MONTH(TB_Vendas[[#This Row],[Data]])</f>
        <v>3</v>
      </c>
      <c r="B26" s="3">
        <v>44988</v>
      </c>
      <c r="C26" s="4" t="s">
        <v>85</v>
      </c>
      <c r="D26" s="4" t="str">
        <f>_xlfn.XLOOKUP(TB_Vendas[[#This Row],[Código]],TB_Produtos[Código],TB_Produtos[Categoria])</f>
        <v>Vestuário</v>
      </c>
      <c r="E26" s="1">
        <v>2</v>
      </c>
      <c r="F26" s="7">
        <f>VLOOKUP(TB_Vendas[[#This Row],[Código]],Produtos!$B$6:$G$66,6,0)</f>
        <v>54.9</v>
      </c>
      <c r="G26" s="1">
        <f>_xlfn.XMATCH(TB_Vendas[[#This Row],[Categoria]],Desc_Categorias,0)</f>
        <v>3</v>
      </c>
      <c r="H26" s="43">
        <f>VLOOKUP(TB_Vendas[[#This Row],[Qtd]],Desc_TabelaToda,TB_Vendas[[#This Row],[Indice]],TRUE)</f>
        <v>0.15</v>
      </c>
      <c r="I26" s="43" cm="1">
        <f t="array" ref="I26">INDEX(Desc_TabelaToda,MATCH(TB_Vendas[[#This Row],[Qtd]],Desc_Quantidades,1),MATCH(_xlfn.XLOOKUP(TB_Vendas[[#This Row],[Código]],TB_Produtos[[#All],[Código]],TB_Produtos[[#All],[Categoria]]),Desc_Categorias,0))</f>
        <v>0.15</v>
      </c>
      <c r="J26" s="43">
        <f>_xlfn.XLOOKUP(TB_Vendas[[#This Row],[Vendedor]],Vendedores!$A$5:$A$9,Vendedores!$D$5:$D$9)</f>
        <v>0.2</v>
      </c>
      <c r="K26" s="43">
        <f>IF(TB_Vendas[[#This Row],[Desconto 
(Diretão)]]&lt;=TB_Vendas[[#This Row],[Desconto 
(Vendedor)]],TB_Vendas[[#This Row],[Desconto 
(Diretão)]],TB_Vendas[[#This Row],[Desconto 
(Vendedor)]])</f>
        <v>0.15</v>
      </c>
      <c r="L26" s="2">
        <f>TB_Vendas[[#This Row],[Preço Unitário]]*TB_Vendas[[#This Row],[Qtd]]</f>
        <v>109.8</v>
      </c>
      <c r="M26" s="1" t="s">
        <v>113</v>
      </c>
    </row>
    <row r="27" spans="1:13">
      <c r="A27" s="4">
        <f>MONTH(TB_Vendas[[#This Row],[Data]])</f>
        <v>3</v>
      </c>
      <c r="B27" s="3">
        <v>44989</v>
      </c>
      <c r="C27" s="4" t="s">
        <v>68</v>
      </c>
      <c r="D27" s="4" t="str">
        <f>_xlfn.XLOOKUP(TB_Vendas[[#This Row],[Código]],TB_Produtos[Código],TB_Produtos[Categoria])</f>
        <v>Vestuário</v>
      </c>
      <c r="E27" s="1">
        <v>3</v>
      </c>
      <c r="F27" s="7">
        <f>VLOOKUP(TB_Vendas[[#This Row],[Código]],Produtos!$B$6:$G$66,6,0)</f>
        <v>142.9</v>
      </c>
      <c r="G27" s="1">
        <f>_xlfn.XMATCH(TB_Vendas[[#This Row],[Categoria]],Desc_Categorias,0)</f>
        <v>3</v>
      </c>
      <c r="H27" s="43">
        <f>VLOOKUP(TB_Vendas[[#This Row],[Qtd]],Desc_TabelaToda,TB_Vendas[[#This Row],[Indice]],TRUE)</f>
        <v>0.2</v>
      </c>
      <c r="I27" s="43" cm="1">
        <f t="array" ref="I27">INDEX(Desc_TabelaToda,MATCH(TB_Vendas[[#This Row],[Qtd]],Desc_Quantidades,1),MATCH(_xlfn.XLOOKUP(TB_Vendas[[#This Row],[Código]],TB_Produtos[[#All],[Código]],TB_Produtos[[#All],[Categoria]]),Desc_Categorias,0))</f>
        <v>0.2</v>
      </c>
      <c r="J27" s="43">
        <f>_xlfn.XLOOKUP(TB_Vendas[[#This Row],[Vendedor]],Vendedores!$A$5:$A$9,Vendedores!$D$5:$D$9)</f>
        <v>0.15</v>
      </c>
      <c r="K27" s="43">
        <f>IF(TB_Vendas[[#This Row],[Desconto 
(Diretão)]]&lt;=TB_Vendas[[#This Row],[Desconto 
(Vendedor)]],TB_Vendas[[#This Row],[Desconto 
(Diretão)]],TB_Vendas[[#This Row],[Desconto 
(Vendedor)]])</f>
        <v>0.15</v>
      </c>
      <c r="L27" s="2">
        <f>TB_Vendas[[#This Row],[Preço Unitário]]*TB_Vendas[[#This Row],[Qtd]]</f>
        <v>428.70000000000005</v>
      </c>
      <c r="M27" s="1" t="s">
        <v>114</v>
      </c>
    </row>
    <row r="28" spans="1:13">
      <c r="A28" s="4">
        <f>MONTH(TB_Vendas[[#This Row],[Data]])</f>
        <v>3</v>
      </c>
      <c r="B28" s="3">
        <v>44994</v>
      </c>
      <c r="C28" s="4" t="s">
        <v>57</v>
      </c>
      <c r="D28" s="4" t="str">
        <f>_xlfn.XLOOKUP(TB_Vendas[[#This Row],[Código]],TB_Produtos[Código],TB_Produtos[Categoria])</f>
        <v>Acessórios</v>
      </c>
      <c r="E28" s="1">
        <v>2</v>
      </c>
      <c r="F28" s="7">
        <f>VLOOKUP(TB_Vendas[[#This Row],[Código]],Produtos!$B$6:$G$66,6,0)</f>
        <v>120</v>
      </c>
      <c r="G28" s="1">
        <f>_xlfn.XMATCH(TB_Vendas[[#This Row],[Categoria]],Desc_Categorias,0)</f>
        <v>2</v>
      </c>
      <c r="H28" s="43">
        <f>VLOOKUP(TB_Vendas[[#This Row],[Qtd]],Desc_TabelaToda,TB_Vendas[[#This Row],[Indice]],TRUE)</f>
        <v>0.05</v>
      </c>
      <c r="I28" s="43" cm="1">
        <f t="array" ref="I28">INDEX(Desc_TabelaToda,MATCH(TB_Vendas[[#This Row],[Qtd]],Desc_Quantidades,1),MATCH(_xlfn.XLOOKUP(TB_Vendas[[#This Row],[Código]],TB_Produtos[[#All],[Código]],TB_Produtos[[#All],[Categoria]]),Desc_Categorias,0))</f>
        <v>0.05</v>
      </c>
      <c r="J28" s="43">
        <f>_xlfn.XLOOKUP(TB_Vendas[[#This Row],[Vendedor]],Vendedores!$A$5:$A$9,Vendedores!$D$5:$D$9)</f>
        <v>0.15</v>
      </c>
      <c r="K28" s="43">
        <f>IF(TB_Vendas[[#This Row],[Desconto 
(Diretão)]]&lt;=TB_Vendas[[#This Row],[Desconto 
(Vendedor)]],TB_Vendas[[#This Row],[Desconto 
(Diretão)]],TB_Vendas[[#This Row],[Desconto 
(Vendedor)]])</f>
        <v>0.05</v>
      </c>
      <c r="L28" s="2">
        <f>TB_Vendas[[#This Row],[Preço Unitário]]*TB_Vendas[[#This Row],[Qtd]]</f>
        <v>240</v>
      </c>
      <c r="M28" s="1" t="s">
        <v>114</v>
      </c>
    </row>
    <row r="29" spans="1:13">
      <c r="A29" s="4">
        <f>MONTH(TB_Vendas[[#This Row],[Data]])</f>
        <v>3</v>
      </c>
      <c r="B29" s="3">
        <v>44999</v>
      </c>
      <c r="C29" s="4" t="s">
        <v>31</v>
      </c>
      <c r="D29" s="4" t="str">
        <f>_xlfn.XLOOKUP(TB_Vendas[[#This Row],[Código]],TB_Produtos[Código],TB_Produtos[Categoria])</f>
        <v>Vestuário</v>
      </c>
      <c r="E29" s="1">
        <v>1</v>
      </c>
      <c r="F29" s="7">
        <f>VLOOKUP(TB_Vendas[[#This Row],[Código]],Produtos!$B$6:$G$66,6,0)</f>
        <v>65.900000000000006</v>
      </c>
      <c r="G29" s="1">
        <f>_xlfn.XMATCH(TB_Vendas[[#This Row],[Categoria]],Desc_Categorias,0)</f>
        <v>3</v>
      </c>
      <c r="H29" s="43">
        <f>VLOOKUP(TB_Vendas[[#This Row],[Qtd]],Desc_TabelaToda,TB_Vendas[[#This Row],[Indice]],TRUE)</f>
        <v>0.1</v>
      </c>
      <c r="I29" s="43" cm="1">
        <f t="array" ref="I29">INDEX(Desc_TabelaToda,MATCH(TB_Vendas[[#This Row],[Qtd]],Desc_Quantidades,1),MATCH(_xlfn.XLOOKUP(TB_Vendas[[#This Row],[Código]],TB_Produtos[[#All],[Código]],TB_Produtos[[#All],[Categoria]]),Desc_Categorias,0))</f>
        <v>0.1</v>
      </c>
      <c r="J29" s="43">
        <f>_xlfn.XLOOKUP(TB_Vendas[[#This Row],[Vendedor]],Vendedores!$A$5:$A$9,Vendedores!$D$5:$D$9)</f>
        <v>0.2</v>
      </c>
      <c r="K29" s="43">
        <f>IF(TB_Vendas[[#This Row],[Desconto 
(Diretão)]]&lt;=TB_Vendas[[#This Row],[Desconto 
(Vendedor)]],TB_Vendas[[#This Row],[Desconto 
(Diretão)]],TB_Vendas[[#This Row],[Desconto 
(Vendedor)]])</f>
        <v>0.1</v>
      </c>
      <c r="L29" s="2">
        <f>TB_Vendas[[#This Row],[Preço Unitário]]*TB_Vendas[[#This Row],[Qtd]]</f>
        <v>65.900000000000006</v>
      </c>
      <c r="M29" s="1" t="s">
        <v>116</v>
      </c>
    </row>
    <row r="30" spans="1:13">
      <c r="A30" s="4">
        <f>MONTH(TB_Vendas[[#This Row],[Data]])</f>
        <v>3</v>
      </c>
      <c r="B30" s="3">
        <v>45004</v>
      </c>
      <c r="C30" s="4" t="s">
        <v>94</v>
      </c>
      <c r="D30" s="4" t="str">
        <f>_xlfn.XLOOKUP(TB_Vendas[[#This Row],[Código]],TB_Produtos[Código],TB_Produtos[Categoria])</f>
        <v>Vestuário</v>
      </c>
      <c r="E30" s="1">
        <v>5</v>
      </c>
      <c r="F30" s="7">
        <f>VLOOKUP(TB_Vendas[[#This Row],[Código]],Produtos!$B$6:$G$66,6,0)</f>
        <v>32.9</v>
      </c>
      <c r="G30" s="1">
        <f>_xlfn.XMATCH(TB_Vendas[[#This Row],[Categoria]],Desc_Categorias,0)</f>
        <v>3</v>
      </c>
      <c r="H30" s="43">
        <f>VLOOKUP(TB_Vendas[[#This Row],[Qtd]],Desc_TabelaToda,TB_Vendas[[#This Row],[Indice]],TRUE)</f>
        <v>0.25</v>
      </c>
      <c r="I30" s="43" cm="1">
        <f t="array" ref="I30">INDEX(Desc_TabelaToda,MATCH(TB_Vendas[[#This Row],[Qtd]],Desc_Quantidades,1),MATCH(_xlfn.XLOOKUP(TB_Vendas[[#This Row],[Código]],TB_Produtos[[#All],[Código]],TB_Produtos[[#All],[Categoria]]),Desc_Categorias,0))</f>
        <v>0.25</v>
      </c>
      <c r="J30" s="43">
        <f>_xlfn.XLOOKUP(TB_Vendas[[#This Row],[Vendedor]],Vendedores!$A$5:$A$9,Vendedores!$D$5:$D$9)</f>
        <v>0.15</v>
      </c>
      <c r="K30" s="43">
        <f>IF(TB_Vendas[[#This Row],[Desconto 
(Diretão)]]&lt;=TB_Vendas[[#This Row],[Desconto 
(Vendedor)]],TB_Vendas[[#This Row],[Desconto 
(Diretão)]],TB_Vendas[[#This Row],[Desconto 
(Vendedor)]])</f>
        <v>0.15</v>
      </c>
      <c r="L30" s="2">
        <f>TB_Vendas[[#This Row],[Preço Unitário]]*TB_Vendas[[#This Row],[Qtd]]</f>
        <v>164.5</v>
      </c>
      <c r="M30" s="1" t="s">
        <v>117</v>
      </c>
    </row>
    <row r="31" spans="1:13">
      <c r="A31" s="4">
        <f>MONTH(TB_Vendas[[#This Row],[Data]])</f>
        <v>3</v>
      </c>
      <c r="B31" s="3">
        <v>45006</v>
      </c>
      <c r="C31" s="4" t="s">
        <v>109</v>
      </c>
      <c r="D31" s="4" t="str">
        <f>_xlfn.XLOOKUP(TB_Vendas[[#This Row],[Código]],TB_Produtos[Código],TB_Produtos[Categoria])</f>
        <v>Vestuário</v>
      </c>
      <c r="E31" s="1">
        <v>2</v>
      </c>
      <c r="F31" s="7">
        <f>VLOOKUP(TB_Vendas[[#This Row],[Código]],Produtos!$B$6:$G$66,6,0)</f>
        <v>180</v>
      </c>
      <c r="G31" s="1">
        <f>_xlfn.XMATCH(TB_Vendas[[#This Row],[Categoria]],Desc_Categorias,0)</f>
        <v>3</v>
      </c>
      <c r="H31" s="43">
        <f>VLOOKUP(TB_Vendas[[#This Row],[Qtd]],Desc_TabelaToda,TB_Vendas[[#This Row],[Indice]],TRUE)</f>
        <v>0.15</v>
      </c>
      <c r="I31" s="43" cm="1">
        <f t="array" ref="I31">INDEX(Desc_TabelaToda,MATCH(TB_Vendas[[#This Row],[Qtd]],Desc_Quantidades,1),MATCH(_xlfn.XLOOKUP(TB_Vendas[[#This Row],[Código]],TB_Produtos[[#All],[Código]],TB_Produtos[[#All],[Categoria]]),Desc_Categorias,0))</f>
        <v>0.15</v>
      </c>
      <c r="J31" s="43">
        <f>_xlfn.XLOOKUP(TB_Vendas[[#This Row],[Vendedor]],Vendedores!$A$5:$A$9,Vendedores!$D$5:$D$9)</f>
        <v>0.15</v>
      </c>
      <c r="K31" s="43">
        <f>IF(TB_Vendas[[#This Row],[Desconto 
(Diretão)]]&lt;=TB_Vendas[[#This Row],[Desconto 
(Vendedor)]],TB_Vendas[[#This Row],[Desconto 
(Diretão)]],TB_Vendas[[#This Row],[Desconto 
(Vendedor)]])</f>
        <v>0.15</v>
      </c>
      <c r="L31" s="2">
        <f>TB_Vendas[[#This Row],[Preço Unitário]]*TB_Vendas[[#This Row],[Qtd]]</f>
        <v>360</v>
      </c>
      <c r="M31" s="1" t="s">
        <v>114</v>
      </c>
    </row>
    <row r="32" spans="1:13">
      <c r="A32" s="4">
        <f>MONTH(TB_Vendas[[#This Row],[Data]])</f>
        <v>3</v>
      </c>
      <c r="B32" s="3">
        <v>45010</v>
      </c>
      <c r="C32" s="4" t="s">
        <v>56</v>
      </c>
      <c r="D32" s="4" t="str">
        <f>_xlfn.XLOOKUP(TB_Vendas[[#This Row],[Código]],TB_Produtos[Código],TB_Produtos[Categoria])</f>
        <v>Acessórios</v>
      </c>
      <c r="E32" s="1">
        <v>3</v>
      </c>
      <c r="F32" s="7">
        <f>VLOOKUP(TB_Vendas[[#This Row],[Código]],Produtos!$B$6:$G$66,6,0)</f>
        <v>349.9</v>
      </c>
      <c r="G32" s="1">
        <f>_xlfn.XMATCH(TB_Vendas[[#This Row],[Categoria]],Desc_Categorias,0)</f>
        <v>2</v>
      </c>
      <c r="H32" s="43">
        <f>VLOOKUP(TB_Vendas[[#This Row],[Qtd]],Desc_TabelaToda,TB_Vendas[[#This Row],[Indice]],TRUE)</f>
        <v>0.15</v>
      </c>
      <c r="I32" s="43" cm="1">
        <f t="array" ref="I32">INDEX(Desc_TabelaToda,MATCH(TB_Vendas[[#This Row],[Qtd]],Desc_Quantidades,1),MATCH(_xlfn.XLOOKUP(TB_Vendas[[#This Row],[Código]],TB_Produtos[[#All],[Código]],TB_Produtos[[#All],[Categoria]]),Desc_Categorias,0))</f>
        <v>0.15</v>
      </c>
      <c r="J32" s="43">
        <f>_xlfn.XLOOKUP(TB_Vendas[[#This Row],[Vendedor]],Vendedores!$A$5:$A$9,Vendedores!$D$5:$D$9)</f>
        <v>0.2</v>
      </c>
      <c r="K32" s="43">
        <f>IF(TB_Vendas[[#This Row],[Desconto 
(Diretão)]]&lt;=TB_Vendas[[#This Row],[Desconto 
(Vendedor)]],TB_Vendas[[#This Row],[Desconto 
(Diretão)]],TB_Vendas[[#This Row],[Desconto 
(Vendedor)]])</f>
        <v>0.15</v>
      </c>
      <c r="L32" s="2">
        <f>TB_Vendas[[#This Row],[Preço Unitário]]*TB_Vendas[[#This Row],[Qtd]]</f>
        <v>1049.6999999999998</v>
      </c>
      <c r="M32" s="1" t="s">
        <v>113</v>
      </c>
    </row>
    <row r="33" spans="1:13">
      <c r="A33" s="4">
        <f>MONTH(TB_Vendas[[#This Row],[Data]])</f>
        <v>4</v>
      </c>
      <c r="B33" s="3">
        <v>45018</v>
      </c>
      <c r="C33" s="4" t="s">
        <v>88</v>
      </c>
      <c r="D33" s="4" t="str">
        <f>_xlfn.XLOOKUP(TB_Vendas[[#This Row],[Código]],TB_Produtos[Código],TB_Produtos[Categoria])</f>
        <v>Vestuário</v>
      </c>
      <c r="E33" s="1">
        <v>1</v>
      </c>
      <c r="F33" s="7">
        <f>VLOOKUP(TB_Vendas[[#This Row],[Código]],Produtos!$B$6:$G$66,6,0)</f>
        <v>72.5</v>
      </c>
      <c r="G33" s="1">
        <f>_xlfn.XMATCH(TB_Vendas[[#This Row],[Categoria]],Desc_Categorias,0)</f>
        <v>3</v>
      </c>
      <c r="H33" s="43">
        <f>VLOOKUP(TB_Vendas[[#This Row],[Qtd]],Desc_TabelaToda,TB_Vendas[[#This Row],[Indice]],TRUE)</f>
        <v>0.1</v>
      </c>
      <c r="I33" s="43" cm="1">
        <f t="array" ref="I33">INDEX(Desc_TabelaToda,MATCH(TB_Vendas[[#This Row],[Qtd]],Desc_Quantidades,1),MATCH(_xlfn.XLOOKUP(TB_Vendas[[#This Row],[Código]],TB_Produtos[[#All],[Código]],TB_Produtos[[#All],[Categoria]]),Desc_Categorias,0))</f>
        <v>0.1</v>
      </c>
      <c r="J33" s="43">
        <f>_xlfn.XLOOKUP(TB_Vendas[[#This Row],[Vendedor]],Vendedores!$A$5:$A$9,Vendedores!$D$5:$D$9)</f>
        <v>0.1</v>
      </c>
      <c r="K33" s="43">
        <f>IF(TB_Vendas[[#This Row],[Desconto 
(Diretão)]]&lt;=TB_Vendas[[#This Row],[Desconto 
(Vendedor)]],TB_Vendas[[#This Row],[Desconto 
(Diretão)]],TB_Vendas[[#This Row],[Desconto 
(Vendedor)]])</f>
        <v>0.1</v>
      </c>
      <c r="L33" s="2">
        <f>TB_Vendas[[#This Row],[Preço Unitário]]*TB_Vendas[[#This Row],[Qtd]]</f>
        <v>72.5</v>
      </c>
      <c r="M33" s="1" t="s">
        <v>115</v>
      </c>
    </row>
    <row r="34" spans="1:13">
      <c r="A34" s="4">
        <f>MONTH(TB_Vendas[[#This Row],[Data]])</f>
        <v>4</v>
      </c>
      <c r="B34" s="3">
        <v>45020</v>
      </c>
      <c r="C34" s="4" t="s">
        <v>54</v>
      </c>
      <c r="D34" s="4" t="str">
        <f>_xlfn.XLOOKUP(TB_Vendas[[#This Row],[Código]],TB_Produtos[Código],TB_Produtos[Categoria])</f>
        <v>Vestuário</v>
      </c>
      <c r="E34" s="1">
        <v>4</v>
      </c>
      <c r="F34" s="7">
        <f>VLOOKUP(TB_Vendas[[#This Row],[Código]],Produtos!$B$6:$G$66,6,0)</f>
        <v>259.89999999999998</v>
      </c>
      <c r="G34" s="1">
        <f>_xlfn.XMATCH(TB_Vendas[[#This Row],[Categoria]],Desc_Categorias,0)</f>
        <v>3</v>
      </c>
      <c r="H34" s="43">
        <f>VLOOKUP(TB_Vendas[[#This Row],[Qtd]],Desc_TabelaToda,TB_Vendas[[#This Row],[Indice]],TRUE)</f>
        <v>0.2</v>
      </c>
      <c r="I34" s="43" cm="1">
        <f t="array" ref="I34">INDEX(Desc_TabelaToda,MATCH(TB_Vendas[[#This Row],[Qtd]],Desc_Quantidades,1),MATCH(_xlfn.XLOOKUP(TB_Vendas[[#This Row],[Código]],TB_Produtos[[#All],[Código]],TB_Produtos[[#All],[Categoria]]),Desc_Categorias,0))</f>
        <v>0.2</v>
      </c>
      <c r="J34" s="43">
        <f>_xlfn.XLOOKUP(TB_Vendas[[#This Row],[Vendedor]],Vendedores!$A$5:$A$9,Vendedores!$D$5:$D$9)</f>
        <v>0.2</v>
      </c>
      <c r="K34" s="43">
        <f>IF(TB_Vendas[[#This Row],[Desconto 
(Diretão)]]&lt;=TB_Vendas[[#This Row],[Desconto 
(Vendedor)]],TB_Vendas[[#This Row],[Desconto 
(Diretão)]],TB_Vendas[[#This Row],[Desconto 
(Vendedor)]])</f>
        <v>0.2</v>
      </c>
      <c r="L34" s="2">
        <f>TB_Vendas[[#This Row],[Preço Unitário]]*TB_Vendas[[#This Row],[Qtd]]</f>
        <v>1039.5999999999999</v>
      </c>
      <c r="M34" s="1" t="s">
        <v>113</v>
      </c>
    </row>
    <row r="35" spans="1:13">
      <c r="A35" s="4">
        <f>MONTH(TB_Vendas[[#This Row],[Data]])</f>
        <v>4</v>
      </c>
      <c r="B35" s="3">
        <v>45024</v>
      </c>
      <c r="C35" s="4" t="s">
        <v>46</v>
      </c>
      <c r="D35" s="4" t="str">
        <f>_xlfn.XLOOKUP(TB_Vendas[[#This Row],[Código]],TB_Produtos[Código],TB_Produtos[Categoria])</f>
        <v>Vestuário</v>
      </c>
      <c r="E35" s="1">
        <v>3</v>
      </c>
      <c r="F35" s="7">
        <f>VLOOKUP(TB_Vendas[[#This Row],[Código]],Produtos!$B$6:$G$66,6,0)</f>
        <v>25.9</v>
      </c>
      <c r="G35" s="1">
        <f>_xlfn.XMATCH(TB_Vendas[[#This Row],[Categoria]],Desc_Categorias,0)</f>
        <v>3</v>
      </c>
      <c r="H35" s="43">
        <f>VLOOKUP(TB_Vendas[[#This Row],[Qtd]],Desc_TabelaToda,TB_Vendas[[#This Row],[Indice]],TRUE)</f>
        <v>0.2</v>
      </c>
      <c r="I35" s="43" cm="1">
        <f t="array" ref="I35">INDEX(Desc_TabelaToda,MATCH(TB_Vendas[[#This Row],[Qtd]],Desc_Quantidades,1),MATCH(_xlfn.XLOOKUP(TB_Vendas[[#This Row],[Código]],TB_Produtos[[#All],[Código]],TB_Produtos[[#All],[Categoria]]),Desc_Categorias,0))</f>
        <v>0.2</v>
      </c>
      <c r="J35" s="43">
        <f>_xlfn.XLOOKUP(TB_Vendas[[#This Row],[Vendedor]],Vendedores!$A$5:$A$9,Vendedores!$D$5:$D$9)</f>
        <v>0.15</v>
      </c>
      <c r="K35" s="43">
        <f>IF(TB_Vendas[[#This Row],[Desconto 
(Diretão)]]&lt;=TB_Vendas[[#This Row],[Desconto 
(Vendedor)]],TB_Vendas[[#This Row],[Desconto 
(Diretão)]],TB_Vendas[[#This Row],[Desconto 
(Vendedor)]])</f>
        <v>0.15</v>
      </c>
      <c r="L35" s="2">
        <f>TB_Vendas[[#This Row],[Preço Unitário]]*TB_Vendas[[#This Row],[Qtd]]</f>
        <v>77.699999999999989</v>
      </c>
      <c r="M35" s="1" t="s">
        <v>114</v>
      </c>
    </row>
    <row r="36" spans="1:13">
      <c r="A36" s="4">
        <f>MONTH(TB_Vendas[[#This Row],[Data]])</f>
        <v>4</v>
      </c>
      <c r="B36" s="3">
        <v>45027</v>
      </c>
      <c r="C36" s="4" t="s">
        <v>34</v>
      </c>
      <c r="D36" s="4" t="str">
        <f>_xlfn.XLOOKUP(TB_Vendas[[#This Row],[Código]],TB_Produtos[Código],TB_Produtos[Categoria])</f>
        <v>Acessórios</v>
      </c>
      <c r="E36" s="1">
        <v>2</v>
      </c>
      <c r="F36" s="7">
        <f>VLOOKUP(TB_Vendas[[#This Row],[Código]],Produtos!$B$6:$G$66,6,0)</f>
        <v>145</v>
      </c>
      <c r="G36" s="1">
        <f>_xlfn.XMATCH(TB_Vendas[[#This Row],[Categoria]],Desc_Categorias,0)</f>
        <v>2</v>
      </c>
      <c r="H36" s="43">
        <f>VLOOKUP(TB_Vendas[[#This Row],[Qtd]],Desc_TabelaToda,TB_Vendas[[#This Row],[Indice]],TRUE)</f>
        <v>0.05</v>
      </c>
      <c r="I36" s="43" cm="1">
        <f t="array" ref="I36">INDEX(Desc_TabelaToda,MATCH(TB_Vendas[[#This Row],[Qtd]],Desc_Quantidades,1),MATCH(_xlfn.XLOOKUP(TB_Vendas[[#This Row],[Código]],TB_Produtos[[#All],[Código]],TB_Produtos[[#All],[Categoria]]),Desc_Categorias,0))</f>
        <v>0.05</v>
      </c>
      <c r="J36" s="43">
        <f>_xlfn.XLOOKUP(TB_Vendas[[#This Row],[Vendedor]],Vendedores!$A$5:$A$9,Vendedores!$D$5:$D$9)</f>
        <v>0.2</v>
      </c>
      <c r="K36" s="43">
        <f>IF(TB_Vendas[[#This Row],[Desconto 
(Diretão)]]&lt;=TB_Vendas[[#This Row],[Desconto 
(Vendedor)]],TB_Vendas[[#This Row],[Desconto 
(Diretão)]],TB_Vendas[[#This Row],[Desconto 
(Vendedor)]])</f>
        <v>0.05</v>
      </c>
      <c r="L36" s="2">
        <f>TB_Vendas[[#This Row],[Preço Unitário]]*TB_Vendas[[#This Row],[Qtd]]</f>
        <v>290</v>
      </c>
      <c r="M36" s="1" t="s">
        <v>113</v>
      </c>
    </row>
    <row r="37" spans="1:13">
      <c r="A37" s="4">
        <f>MONTH(TB_Vendas[[#This Row],[Data]])</f>
        <v>4</v>
      </c>
      <c r="B37" s="3">
        <v>45028</v>
      </c>
      <c r="C37" s="4" t="s">
        <v>36</v>
      </c>
      <c r="D37" s="4" t="str">
        <f>_xlfn.XLOOKUP(TB_Vendas[[#This Row],[Código]],TB_Produtos[Código],TB_Produtos[Categoria])</f>
        <v>Acessórios</v>
      </c>
      <c r="E37" s="1">
        <v>1</v>
      </c>
      <c r="F37" s="7">
        <f>VLOOKUP(TB_Vendas[[#This Row],[Código]],Produtos!$B$6:$G$66,6,0)</f>
        <v>39.9</v>
      </c>
      <c r="G37" s="1">
        <f>_xlfn.XMATCH(TB_Vendas[[#This Row],[Categoria]],Desc_Categorias,0)</f>
        <v>2</v>
      </c>
      <c r="H37" s="43">
        <f>VLOOKUP(TB_Vendas[[#This Row],[Qtd]],Desc_TabelaToda,TB_Vendas[[#This Row],[Indice]],TRUE)</f>
        <v>0</v>
      </c>
      <c r="I37" s="43" cm="1">
        <f t="array" ref="I37">INDEX(Desc_TabelaToda,MATCH(TB_Vendas[[#This Row],[Qtd]],Desc_Quantidades,1),MATCH(_xlfn.XLOOKUP(TB_Vendas[[#This Row],[Código]],TB_Produtos[[#All],[Código]],TB_Produtos[[#All],[Categoria]]),Desc_Categorias,0))</f>
        <v>0</v>
      </c>
      <c r="J37" s="43">
        <f>_xlfn.XLOOKUP(TB_Vendas[[#This Row],[Vendedor]],Vendedores!$A$5:$A$9,Vendedores!$D$5:$D$9)</f>
        <v>0.15</v>
      </c>
      <c r="K37" s="43">
        <f>IF(TB_Vendas[[#This Row],[Desconto 
(Diretão)]]&lt;=TB_Vendas[[#This Row],[Desconto 
(Vendedor)]],TB_Vendas[[#This Row],[Desconto 
(Diretão)]],TB_Vendas[[#This Row],[Desconto 
(Vendedor)]])</f>
        <v>0</v>
      </c>
      <c r="L37" s="2">
        <f>TB_Vendas[[#This Row],[Preço Unitário]]*TB_Vendas[[#This Row],[Qtd]]</f>
        <v>39.9</v>
      </c>
      <c r="M37" s="1" t="s">
        <v>114</v>
      </c>
    </row>
    <row r="38" spans="1:13">
      <c r="A38" s="4">
        <f>MONTH(TB_Vendas[[#This Row],[Data]])</f>
        <v>4</v>
      </c>
      <c r="B38" s="3">
        <v>45029</v>
      </c>
      <c r="C38" s="4" t="s">
        <v>56</v>
      </c>
      <c r="D38" s="4" t="str">
        <f>_xlfn.XLOOKUP(TB_Vendas[[#This Row],[Código]],TB_Produtos[Código],TB_Produtos[Categoria])</f>
        <v>Acessórios</v>
      </c>
      <c r="E38" s="1">
        <v>3</v>
      </c>
      <c r="F38" s="7">
        <f>VLOOKUP(TB_Vendas[[#This Row],[Código]],Produtos!$B$6:$G$66,6,0)</f>
        <v>349.9</v>
      </c>
      <c r="G38" s="1">
        <f>_xlfn.XMATCH(TB_Vendas[[#This Row],[Categoria]],Desc_Categorias,0)</f>
        <v>2</v>
      </c>
      <c r="H38" s="43">
        <f>VLOOKUP(TB_Vendas[[#This Row],[Qtd]],Desc_TabelaToda,TB_Vendas[[#This Row],[Indice]],TRUE)</f>
        <v>0.15</v>
      </c>
      <c r="I38" s="43" cm="1">
        <f t="array" ref="I38">INDEX(Desc_TabelaToda,MATCH(TB_Vendas[[#This Row],[Qtd]],Desc_Quantidades,1),MATCH(_xlfn.XLOOKUP(TB_Vendas[[#This Row],[Código]],TB_Produtos[[#All],[Código]],TB_Produtos[[#All],[Categoria]]),Desc_Categorias,0))</f>
        <v>0.15</v>
      </c>
      <c r="J38" s="43">
        <f>_xlfn.XLOOKUP(TB_Vendas[[#This Row],[Vendedor]],Vendedores!$A$5:$A$9,Vendedores!$D$5:$D$9)</f>
        <v>0.2</v>
      </c>
      <c r="K38" s="43">
        <f>IF(TB_Vendas[[#This Row],[Desconto 
(Diretão)]]&lt;=TB_Vendas[[#This Row],[Desconto 
(Vendedor)]],TB_Vendas[[#This Row],[Desconto 
(Diretão)]],TB_Vendas[[#This Row],[Desconto 
(Vendedor)]])</f>
        <v>0.15</v>
      </c>
      <c r="L38" s="2">
        <f>TB_Vendas[[#This Row],[Preço Unitário]]*TB_Vendas[[#This Row],[Qtd]]</f>
        <v>1049.6999999999998</v>
      </c>
      <c r="M38" s="1" t="s">
        <v>116</v>
      </c>
    </row>
    <row r="39" spans="1:13">
      <c r="A39" s="4">
        <f>MONTH(TB_Vendas[[#This Row],[Data]])</f>
        <v>4</v>
      </c>
      <c r="B39" s="3">
        <v>45031</v>
      </c>
      <c r="C39" s="4" t="s">
        <v>105</v>
      </c>
      <c r="D39" s="4" t="str">
        <f>_xlfn.XLOOKUP(TB_Vendas[[#This Row],[Código]],TB_Produtos[Código],TB_Produtos[Categoria])</f>
        <v>Calçado</v>
      </c>
      <c r="E39" s="1">
        <v>4</v>
      </c>
      <c r="F39" s="7">
        <f>VLOOKUP(TB_Vendas[[#This Row],[Código]],Produtos!$B$6:$G$66,6,0)</f>
        <v>89.9</v>
      </c>
      <c r="G39" s="1">
        <f>_xlfn.XMATCH(TB_Vendas[[#This Row],[Categoria]],Desc_Categorias,0)</f>
        <v>4</v>
      </c>
      <c r="H39" s="43">
        <f>VLOOKUP(TB_Vendas[[#This Row],[Qtd]],Desc_TabelaToda,TB_Vendas[[#This Row],[Indice]],TRUE)</f>
        <v>0.15</v>
      </c>
      <c r="I39" s="43" cm="1">
        <f t="array" ref="I39">INDEX(Desc_TabelaToda,MATCH(TB_Vendas[[#This Row],[Qtd]],Desc_Quantidades,1),MATCH(_xlfn.XLOOKUP(TB_Vendas[[#This Row],[Código]],TB_Produtos[[#All],[Código]],TB_Produtos[[#All],[Categoria]]),Desc_Categorias,0))</f>
        <v>0.15</v>
      </c>
      <c r="J39" s="43">
        <f>_xlfn.XLOOKUP(TB_Vendas[[#This Row],[Vendedor]],Vendedores!$A$5:$A$9,Vendedores!$D$5:$D$9)</f>
        <v>0.2</v>
      </c>
      <c r="K39" s="43">
        <f>IF(TB_Vendas[[#This Row],[Desconto 
(Diretão)]]&lt;=TB_Vendas[[#This Row],[Desconto 
(Vendedor)]],TB_Vendas[[#This Row],[Desconto 
(Diretão)]],TB_Vendas[[#This Row],[Desconto 
(Vendedor)]])</f>
        <v>0.15</v>
      </c>
      <c r="L39" s="2">
        <f>TB_Vendas[[#This Row],[Preço Unitário]]*TB_Vendas[[#This Row],[Qtd]]</f>
        <v>359.6</v>
      </c>
      <c r="M39" s="1" t="s">
        <v>113</v>
      </c>
    </row>
    <row r="40" spans="1:13">
      <c r="A40" s="4">
        <f>MONTH(TB_Vendas[[#This Row],[Data]])</f>
        <v>4</v>
      </c>
      <c r="B40" s="3">
        <v>45038</v>
      </c>
      <c r="C40" s="4" t="s">
        <v>102</v>
      </c>
      <c r="D40" s="4" t="str">
        <f>_xlfn.XLOOKUP(TB_Vendas[[#This Row],[Código]],TB_Produtos[Código],TB_Produtos[Categoria])</f>
        <v>Calçado</v>
      </c>
      <c r="E40" s="1">
        <v>2</v>
      </c>
      <c r="F40" s="7">
        <f>VLOOKUP(TB_Vendas[[#This Row],[Código]],Produtos!$B$6:$G$66,6,0)</f>
        <v>89.9</v>
      </c>
      <c r="G40" s="1">
        <f>_xlfn.XMATCH(TB_Vendas[[#This Row],[Categoria]],Desc_Categorias,0)</f>
        <v>4</v>
      </c>
      <c r="H40" s="43">
        <f>VLOOKUP(TB_Vendas[[#This Row],[Qtd]],Desc_TabelaToda,TB_Vendas[[#This Row],[Indice]],TRUE)</f>
        <v>0.1</v>
      </c>
      <c r="I40" s="43" cm="1">
        <f t="array" ref="I40">INDEX(Desc_TabelaToda,MATCH(TB_Vendas[[#This Row],[Qtd]],Desc_Quantidades,1),MATCH(_xlfn.XLOOKUP(TB_Vendas[[#This Row],[Código]],TB_Produtos[[#All],[Código]],TB_Produtos[[#All],[Categoria]]),Desc_Categorias,0))</f>
        <v>0.1</v>
      </c>
      <c r="J40" s="43">
        <f>_xlfn.XLOOKUP(TB_Vendas[[#This Row],[Vendedor]],Vendedores!$A$5:$A$9,Vendedores!$D$5:$D$9)</f>
        <v>0.2</v>
      </c>
      <c r="K40" s="43">
        <f>IF(TB_Vendas[[#This Row],[Desconto 
(Diretão)]]&lt;=TB_Vendas[[#This Row],[Desconto 
(Vendedor)]],TB_Vendas[[#This Row],[Desconto 
(Diretão)]],TB_Vendas[[#This Row],[Desconto 
(Vendedor)]])</f>
        <v>0.1</v>
      </c>
      <c r="L40" s="2">
        <f>TB_Vendas[[#This Row],[Preço Unitário]]*TB_Vendas[[#This Row],[Qtd]]</f>
        <v>179.8</v>
      </c>
      <c r="M40" s="1" t="s">
        <v>116</v>
      </c>
    </row>
    <row r="41" spans="1:13">
      <c r="A41" s="4">
        <f>MONTH(TB_Vendas[[#This Row],[Data]])</f>
        <v>4</v>
      </c>
      <c r="B41" s="3">
        <v>45039</v>
      </c>
      <c r="C41" s="4" t="s">
        <v>32</v>
      </c>
      <c r="D41" s="4" t="str">
        <f>_xlfn.XLOOKUP(TB_Vendas[[#This Row],[Código]],TB_Produtos[Código],TB_Produtos[Categoria])</f>
        <v>Vestuário</v>
      </c>
      <c r="E41" s="1">
        <v>3</v>
      </c>
      <c r="F41" s="7">
        <f>VLOOKUP(TB_Vendas[[#This Row],[Código]],Produtos!$B$6:$G$66,6,0)</f>
        <v>69.900000000000006</v>
      </c>
      <c r="G41" s="1">
        <f>_xlfn.XMATCH(TB_Vendas[[#This Row],[Categoria]],Desc_Categorias,0)</f>
        <v>3</v>
      </c>
      <c r="H41" s="43">
        <f>VLOOKUP(TB_Vendas[[#This Row],[Qtd]],Desc_TabelaToda,TB_Vendas[[#This Row],[Indice]],TRUE)</f>
        <v>0.2</v>
      </c>
      <c r="I41" s="43" cm="1">
        <f t="array" ref="I41">INDEX(Desc_TabelaToda,MATCH(TB_Vendas[[#This Row],[Qtd]],Desc_Quantidades,1),MATCH(_xlfn.XLOOKUP(TB_Vendas[[#This Row],[Código]],TB_Produtos[[#All],[Código]],TB_Produtos[[#All],[Categoria]]),Desc_Categorias,0))</f>
        <v>0.2</v>
      </c>
      <c r="J41" s="43">
        <f>_xlfn.XLOOKUP(TB_Vendas[[#This Row],[Vendedor]],Vendedores!$A$5:$A$9,Vendedores!$D$5:$D$9)</f>
        <v>0.2</v>
      </c>
      <c r="K41" s="43">
        <f>IF(TB_Vendas[[#This Row],[Desconto 
(Diretão)]]&lt;=TB_Vendas[[#This Row],[Desconto 
(Vendedor)]],TB_Vendas[[#This Row],[Desconto 
(Diretão)]],TB_Vendas[[#This Row],[Desconto 
(Vendedor)]])</f>
        <v>0.2</v>
      </c>
      <c r="L41" s="2">
        <f>TB_Vendas[[#This Row],[Preço Unitário]]*TB_Vendas[[#This Row],[Qtd]]</f>
        <v>209.70000000000002</v>
      </c>
      <c r="M41" s="1" t="s">
        <v>113</v>
      </c>
    </row>
    <row r="42" spans="1:13">
      <c r="A42" s="4">
        <f>MONTH(TB_Vendas[[#This Row],[Data]])</f>
        <v>4</v>
      </c>
      <c r="B42" s="3">
        <v>45042</v>
      </c>
      <c r="C42" s="4" t="s">
        <v>34</v>
      </c>
      <c r="D42" s="4" t="str">
        <f>_xlfn.XLOOKUP(TB_Vendas[[#This Row],[Código]],TB_Produtos[Código],TB_Produtos[Categoria])</f>
        <v>Acessórios</v>
      </c>
      <c r="E42" s="1">
        <v>1</v>
      </c>
      <c r="F42" s="7">
        <f>VLOOKUP(TB_Vendas[[#This Row],[Código]],Produtos!$B$6:$G$66,6,0)</f>
        <v>145</v>
      </c>
      <c r="G42" s="1">
        <f>_xlfn.XMATCH(TB_Vendas[[#This Row],[Categoria]],Desc_Categorias,0)</f>
        <v>2</v>
      </c>
      <c r="H42" s="43">
        <f>VLOOKUP(TB_Vendas[[#This Row],[Qtd]],Desc_TabelaToda,TB_Vendas[[#This Row],[Indice]],TRUE)</f>
        <v>0</v>
      </c>
      <c r="I42" s="43" cm="1">
        <f t="array" ref="I42">INDEX(Desc_TabelaToda,MATCH(TB_Vendas[[#This Row],[Qtd]],Desc_Quantidades,1),MATCH(_xlfn.XLOOKUP(TB_Vendas[[#This Row],[Código]],TB_Produtos[[#All],[Código]],TB_Produtos[[#All],[Categoria]]),Desc_Categorias,0))</f>
        <v>0</v>
      </c>
      <c r="J42" s="43">
        <f>_xlfn.XLOOKUP(TB_Vendas[[#This Row],[Vendedor]],Vendedores!$A$5:$A$9,Vendedores!$D$5:$D$9)</f>
        <v>0.15</v>
      </c>
      <c r="K42" s="43">
        <f>IF(TB_Vendas[[#This Row],[Desconto 
(Diretão)]]&lt;=TB_Vendas[[#This Row],[Desconto 
(Vendedor)]],TB_Vendas[[#This Row],[Desconto 
(Diretão)]],TB_Vendas[[#This Row],[Desconto 
(Vendedor)]])</f>
        <v>0</v>
      </c>
      <c r="L42" s="2">
        <f>TB_Vendas[[#This Row],[Preço Unitário]]*TB_Vendas[[#This Row],[Qtd]]</f>
        <v>145</v>
      </c>
      <c r="M42" s="1" t="s">
        <v>117</v>
      </c>
    </row>
    <row r="43" spans="1:13">
      <c r="A43" s="4">
        <f>MONTH(TB_Vendas[[#This Row],[Data]])</f>
        <v>4</v>
      </c>
      <c r="B43" s="3">
        <v>45043</v>
      </c>
      <c r="C43" s="4" t="s">
        <v>41</v>
      </c>
      <c r="D43" s="4" t="str">
        <f>_xlfn.XLOOKUP(TB_Vendas[[#This Row],[Código]],TB_Produtos[Código],TB_Produtos[Categoria])</f>
        <v>Vestuário</v>
      </c>
      <c r="E43" s="1">
        <v>4</v>
      </c>
      <c r="F43" s="7">
        <f>VLOOKUP(TB_Vendas[[#This Row],[Código]],Produtos!$B$6:$G$66,6,0)</f>
        <v>46.9</v>
      </c>
      <c r="G43" s="1">
        <f>_xlfn.XMATCH(TB_Vendas[[#This Row],[Categoria]],Desc_Categorias,0)</f>
        <v>3</v>
      </c>
      <c r="H43" s="43">
        <f>VLOOKUP(TB_Vendas[[#This Row],[Qtd]],Desc_TabelaToda,TB_Vendas[[#This Row],[Indice]],TRUE)</f>
        <v>0.2</v>
      </c>
      <c r="I43" s="43" cm="1">
        <f t="array" ref="I43">INDEX(Desc_TabelaToda,MATCH(TB_Vendas[[#This Row],[Qtd]],Desc_Quantidades,1),MATCH(_xlfn.XLOOKUP(TB_Vendas[[#This Row],[Código]],TB_Produtos[[#All],[Código]],TB_Produtos[[#All],[Categoria]]),Desc_Categorias,0))</f>
        <v>0.2</v>
      </c>
      <c r="J43" s="43">
        <f>_xlfn.XLOOKUP(TB_Vendas[[#This Row],[Vendedor]],Vendedores!$A$5:$A$9,Vendedores!$D$5:$D$9)</f>
        <v>0.2</v>
      </c>
      <c r="K43" s="43">
        <f>IF(TB_Vendas[[#This Row],[Desconto 
(Diretão)]]&lt;=TB_Vendas[[#This Row],[Desconto 
(Vendedor)]],TB_Vendas[[#This Row],[Desconto 
(Diretão)]],TB_Vendas[[#This Row],[Desconto 
(Vendedor)]])</f>
        <v>0.2</v>
      </c>
      <c r="L43" s="2">
        <f>TB_Vendas[[#This Row],[Preço Unitário]]*TB_Vendas[[#This Row],[Qtd]]</f>
        <v>187.6</v>
      </c>
      <c r="M43" s="1" t="s">
        <v>113</v>
      </c>
    </row>
    <row r="44" spans="1:13">
      <c r="A44" s="4">
        <f>MONTH(TB_Vendas[[#This Row],[Data]])</f>
        <v>5</v>
      </c>
      <c r="B44" s="3">
        <v>45054</v>
      </c>
      <c r="C44" s="4" t="s">
        <v>86</v>
      </c>
      <c r="D44" s="4" t="str">
        <f>_xlfn.XLOOKUP(TB_Vendas[[#This Row],[Código]],TB_Produtos[Código],TB_Produtos[Categoria])</f>
        <v>Vestuário</v>
      </c>
      <c r="E44" s="1">
        <v>2</v>
      </c>
      <c r="F44" s="7">
        <f>VLOOKUP(TB_Vendas[[#This Row],[Código]],Produtos!$B$6:$G$66,6,0)</f>
        <v>72.5</v>
      </c>
      <c r="G44" s="1">
        <f>_xlfn.XMATCH(TB_Vendas[[#This Row],[Categoria]],Desc_Categorias,0)</f>
        <v>3</v>
      </c>
      <c r="H44" s="43">
        <f>VLOOKUP(TB_Vendas[[#This Row],[Qtd]],Desc_TabelaToda,TB_Vendas[[#This Row],[Indice]],TRUE)</f>
        <v>0.15</v>
      </c>
      <c r="I44" s="43" cm="1">
        <f t="array" ref="I44">INDEX(Desc_TabelaToda,MATCH(TB_Vendas[[#This Row],[Qtd]],Desc_Quantidades,1),MATCH(_xlfn.XLOOKUP(TB_Vendas[[#This Row],[Código]],TB_Produtos[[#All],[Código]],TB_Produtos[[#All],[Categoria]]),Desc_Categorias,0))</f>
        <v>0.15</v>
      </c>
      <c r="J44" s="43">
        <f>_xlfn.XLOOKUP(TB_Vendas[[#This Row],[Vendedor]],Vendedores!$A$5:$A$9,Vendedores!$D$5:$D$9)</f>
        <v>0.15</v>
      </c>
      <c r="K44" s="43">
        <f>IF(TB_Vendas[[#This Row],[Desconto 
(Diretão)]]&lt;=TB_Vendas[[#This Row],[Desconto 
(Vendedor)]],TB_Vendas[[#This Row],[Desconto 
(Diretão)]],TB_Vendas[[#This Row],[Desconto 
(Vendedor)]])</f>
        <v>0.15</v>
      </c>
      <c r="L44" s="2">
        <f>TB_Vendas[[#This Row],[Preço Unitário]]*TB_Vendas[[#This Row],[Qtd]]</f>
        <v>145</v>
      </c>
      <c r="M44" s="1" t="s">
        <v>117</v>
      </c>
    </row>
    <row r="45" spans="1:13">
      <c r="A45" s="4">
        <f>MONTH(TB_Vendas[[#This Row],[Data]])</f>
        <v>5</v>
      </c>
      <c r="B45" s="3">
        <v>45055</v>
      </c>
      <c r="C45" s="4" t="s">
        <v>67</v>
      </c>
      <c r="D45" s="4" t="str">
        <f>_xlfn.XLOOKUP(TB_Vendas[[#This Row],[Código]],TB_Produtos[Código],TB_Produtos[Categoria])</f>
        <v>Vestuário</v>
      </c>
      <c r="E45" s="1">
        <v>3</v>
      </c>
      <c r="F45" s="7">
        <f>VLOOKUP(TB_Vendas[[#This Row],[Código]],Produtos!$B$6:$G$66,6,0)</f>
        <v>140</v>
      </c>
      <c r="G45" s="1">
        <f>_xlfn.XMATCH(TB_Vendas[[#This Row],[Categoria]],Desc_Categorias,0)</f>
        <v>3</v>
      </c>
      <c r="H45" s="43">
        <f>VLOOKUP(TB_Vendas[[#This Row],[Qtd]],Desc_TabelaToda,TB_Vendas[[#This Row],[Indice]],TRUE)</f>
        <v>0.2</v>
      </c>
      <c r="I45" s="43" cm="1">
        <f t="array" ref="I45">INDEX(Desc_TabelaToda,MATCH(TB_Vendas[[#This Row],[Qtd]],Desc_Quantidades,1),MATCH(_xlfn.XLOOKUP(TB_Vendas[[#This Row],[Código]],TB_Produtos[[#All],[Código]],TB_Produtos[[#All],[Categoria]]),Desc_Categorias,0))</f>
        <v>0.2</v>
      </c>
      <c r="J45" s="43">
        <f>_xlfn.XLOOKUP(TB_Vendas[[#This Row],[Vendedor]],Vendedores!$A$5:$A$9,Vendedores!$D$5:$D$9)</f>
        <v>0.2</v>
      </c>
      <c r="K45" s="43">
        <f>IF(TB_Vendas[[#This Row],[Desconto 
(Diretão)]]&lt;=TB_Vendas[[#This Row],[Desconto 
(Vendedor)]],TB_Vendas[[#This Row],[Desconto 
(Diretão)]],TB_Vendas[[#This Row],[Desconto 
(Vendedor)]])</f>
        <v>0.2</v>
      </c>
      <c r="L45" s="2">
        <f>TB_Vendas[[#This Row],[Preço Unitário]]*TB_Vendas[[#This Row],[Qtd]]</f>
        <v>420</v>
      </c>
      <c r="M45" s="1" t="s">
        <v>116</v>
      </c>
    </row>
    <row r="46" spans="1:13">
      <c r="A46" s="4">
        <f>MONTH(TB_Vendas[[#This Row],[Data]])</f>
        <v>5</v>
      </c>
      <c r="B46" s="3">
        <v>45056</v>
      </c>
      <c r="C46" s="4" t="s">
        <v>65</v>
      </c>
      <c r="D46" s="4" t="str">
        <f>_xlfn.XLOOKUP(TB_Vendas[[#This Row],[Código]],TB_Produtos[Código],TB_Produtos[Categoria])</f>
        <v>Vestuário</v>
      </c>
      <c r="E46" s="1">
        <v>1</v>
      </c>
      <c r="F46" s="7">
        <f>VLOOKUP(TB_Vendas[[#This Row],[Código]],Produtos!$B$6:$G$66,6,0)</f>
        <v>91.4</v>
      </c>
      <c r="G46" s="1">
        <f>_xlfn.XMATCH(TB_Vendas[[#This Row],[Categoria]],Desc_Categorias,0)</f>
        <v>3</v>
      </c>
      <c r="H46" s="43">
        <f>VLOOKUP(TB_Vendas[[#This Row],[Qtd]],Desc_TabelaToda,TB_Vendas[[#This Row],[Indice]],TRUE)</f>
        <v>0.1</v>
      </c>
      <c r="I46" s="43" cm="1">
        <f t="array" ref="I46">INDEX(Desc_TabelaToda,MATCH(TB_Vendas[[#This Row],[Qtd]],Desc_Quantidades,1),MATCH(_xlfn.XLOOKUP(TB_Vendas[[#This Row],[Código]],TB_Produtos[[#All],[Código]],TB_Produtos[[#All],[Categoria]]),Desc_Categorias,0))</f>
        <v>0.1</v>
      </c>
      <c r="J46" s="43">
        <f>_xlfn.XLOOKUP(TB_Vendas[[#This Row],[Vendedor]],Vendedores!$A$5:$A$9,Vendedores!$D$5:$D$9)</f>
        <v>0.15</v>
      </c>
      <c r="K46" s="43">
        <f>IF(TB_Vendas[[#This Row],[Desconto 
(Diretão)]]&lt;=TB_Vendas[[#This Row],[Desconto 
(Vendedor)]],TB_Vendas[[#This Row],[Desconto 
(Diretão)]],TB_Vendas[[#This Row],[Desconto 
(Vendedor)]])</f>
        <v>0.1</v>
      </c>
      <c r="L46" s="2">
        <f>TB_Vendas[[#This Row],[Preço Unitário]]*TB_Vendas[[#This Row],[Qtd]]</f>
        <v>91.4</v>
      </c>
      <c r="M46" s="1" t="s">
        <v>114</v>
      </c>
    </row>
    <row r="47" spans="1:13">
      <c r="A47" s="4">
        <f>MONTH(TB_Vendas[[#This Row],[Data]])</f>
        <v>5</v>
      </c>
      <c r="B47" s="3">
        <v>45057</v>
      </c>
      <c r="C47" s="4" t="s">
        <v>56</v>
      </c>
      <c r="D47" s="4" t="str">
        <f>_xlfn.XLOOKUP(TB_Vendas[[#This Row],[Código]],TB_Produtos[Código],TB_Produtos[Categoria])</f>
        <v>Acessórios</v>
      </c>
      <c r="E47" s="1">
        <v>2</v>
      </c>
      <c r="F47" s="7">
        <f>VLOOKUP(TB_Vendas[[#This Row],[Código]],Produtos!$B$6:$G$66,6,0)</f>
        <v>349.9</v>
      </c>
      <c r="G47" s="1">
        <f>_xlfn.XMATCH(TB_Vendas[[#This Row],[Categoria]],Desc_Categorias,0)</f>
        <v>2</v>
      </c>
      <c r="H47" s="43">
        <f>VLOOKUP(TB_Vendas[[#This Row],[Qtd]],Desc_TabelaToda,TB_Vendas[[#This Row],[Indice]],TRUE)</f>
        <v>0.05</v>
      </c>
      <c r="I47" s="43" cm="1">
        <f t="array" ref="I47">INDEX(Desc_TabelaToda,MATCH(TB_Vendas[[#This Row],[Qtd]],Desc_Quantidades,1),MATCH(_xlfn.XLOOKUP(TB_Vendas[[#This Row],[Código]],TB_Produtos[[#All],[Código]],TB_Produtos[[#All],[Categoria]]),Desc_Categorias,0))</f>
        <v>0.05</v>
      </c>
      <c r="J47" s="43">
        <f>_xlfn.XLOOKUP(TB_Vendas[[#This Row],[Vendedor]],Vendedores!$A$5:$A$9,Vendedores!$D$5:$D$9)</f>
        <v>0.2</v>
      </c>
      <c r="K47" s="43">
        <f>IF(TB_Vendas[[#This Row],[Desconto 
(Diretão)]]&lt;=TB_Vendas[[#This Row],[Desconto 
(Vendedor)]],TB_Vendas[[#This Row],[Desconto 
(Diretão)]],TB_Vendas[[#This Row],[Desconto 
(Vendedor)]])</f>
        <v>0.05</v>
      </c>
      <c r="L47" s="2">
        <f>TB_Vendas[[#This Row],[Preço Unitário]]*TB_Vendas[[#This Row],[Qtd]]</f>
        <v>699.8</v>
      </c>
      <c r="M47" s="1" t="s">
        <v>116</v>
      </c>
    </row>
    <row r="48" spans="1:13">
      <c r="A48" s="4">
        <f>MONTH(TB_Vendas[[#This Row],[Data]])</f>
        <v>5</v>
      </c>
      <c r="B48" s="3">
        <v>45058</v>
      </c>
      <c r="C48" s="4" t="s">
        <v>31</v>
      </c>
      <c r="D48" s="4" t="str">
        <f>_xlfn.XLOOKUP(TB_Vendas[[#This Row],[Código]],TB_Produtos[Código],TB_Produtos[Categoria])</f>
        <v>Vestuário</v>
      </c>
      <c r="E48" s="1">
        <v>3</v>
      </c>
      <c r="F48" s="7">
        <f>VLOOKUP(TB_Vendas[[#This Row],[Código]],Produtos!$B$6:$G$66,6,0)</f>
        <v>65.900000000000006</v>
      </c>
      <c r="G48" s="1">
        <f>_xlfn.XMATCH(TB_Vendas[[#This Row],[Categoria]],Desc_Categorias,0)</f>
        <v>3</v>
      </c>
      <c r="H48" s="43">
        <f>VLOOKUP(TB_Vendas[[#This Row],[Qtd]],Desc_TabelaToda,TB_Vendas[[#This Row],[Indice]],TRUE)</f>
        <v>0.2</v>
      </c>
      <c r="I48" s="43" cm="1">
        <f t="array" ref="I48">INDEX(Desc_TabelaToda,MATCH(TB_Vendas[[#This Row],[Qtd]],Desc_Quantidades,1),MATCH(_xlfn.XLOOKUP(TB_Vendas[[#This Row],[Código]],TB_Produtos[[#All],[Código]],TB_Produtos[[#All],[Categoria]]),Desc_Categorias,0))</f>
        <v>0.2</v>
      </c>
      <c r="J48" s="43">
        <f>_xlfn.XLOOKUP(TB_Vendas[[#This Row],[Vendedor]],Vendedores!$A$5:$A$9,Vendedores!$D$5:$D$9)</f>
        <v>0.15</v>
      </c>
      <c r="K48" s="43">
        <f>IF(TB_Vendas[[#This Row],[Desconto 
(Diretão)]]&lt;=TB_Vendas[[#This Row],[Desconto 
(Vendedor)]],TB_Vendas[[#This Row],[Desconto 
(Diretão)]],TB_Vendas[[#This Row],[Desconto 
(Vendedor)]])</f>
        <v>0.15</v>
      </c>
      <c r="L48" s="2">
        <f>TB_Vendas[[#This Row],[Preço Unitário]]*TB_Vendas[[#This Row],[Qtd]]</f>
        <v>197.70000000000002</v>
      </c>
      <c r="M48" s="1" t="s">
        <v>114</v>
      </c>
    </row>
    <row r="49" spans="1:13">
      <c r="A49" s="4">
        <f>MONTH(TB_Vendas[[#This Row],[Data]])</f>
        <v>5</v>
      </c>
      <c r="B49" s="3">
        <v>45061</v>
      </c>
      <c r="C49" s="4" t="s">
        <v>65</v>
      </c>
      <c r="D49" s="4" t="str">
        <f>_xlfn.XLOOKUP(TB_Vendas[[#This Row],[Código]],TB_Produtos[Código],TB_Produtos[Categoria])</f>
        <v>Vestuário</v>
      </c>
      <c r="E49" s="1">
        <v>2</v>
      </c>
      <c r="F49" s="7">
        <f>VLOOKUP(TB_Vendas[[#This Row],[Código]],Produtos!$B$6:$G$66,6,0)</f>
        <v>91.4</v>
      </c>
      <c r="G49" s="1">
        <f>_xlfn.XMATCH(TB_Vendas[[#This Row],[Categoria]],Desc_Categorias,0)</f>
        <v>3</v>
      </c>
      <c r="H49" s="43">
        <f>VLOOKUP(TB_Vendas[[#This Row],[Qtd]],Desc_TabelaToda,TB_Vendas[[#This Row],[Indice]],TRUE)</f>
        <v>0.15</v>
      </c>
      <c r="I49" s="43" cm="1">
        <f t="array" ref="I49">INDEX(Desc_TabelaToda,MATCH(TB_Vendas[[#This Row],[Qtd]],Desc_Quantidades,1),MATCH(_xlfn.XLOOKUP(TB_Vendas[[#This Row],[Código]],TB_Produtos[[#All],[Código]],TB_Produtos[[#All],[Categoria]]),Desc_Categorias,0))</f>
        <v>0.15</v>
      </c>
      <c r="J49" s="43">
        <f>_xlfn.XLOOKUP(TB_Vendas[[#This Row],[Vendedor]],Vendedores!$A$5:$A$9,Vendedores!$D$5:$D$9)</f>
        <v>0.2</v>
      </c>
      <c r="K49" s="43">
        <f>IF(TB_Vendas[[#This Row],[Desconto 
(Diretão)]]&lt;=TB_Vendas[[#This Row],[Desconto 
(Vendedor)]],TB_Vendas[[#This Row],[Desconto 
(Diretão)]],TB_Vendas[[#This Row],[Desconto 
(Vendedor)]])</f>
        <v>0.15</v>
      </c>
      <c r="L49" s="2">
        <f>TB_Vendas[[#This Row],[Preço Unitário]]*TB_Vendas[[#This Row],[Qtd]]</f>
        <v>182.8</v>
      </c>
      <c r="M49" s="1" t="s">
        <v>113</v>
      </c>
    </row>
    <row r="50" spans="1:13">
      <c r="A50" s="4">
        <f>MONTH(TB_Vendas[[#This Row],[Data]])</f>
        <v>5</v>
      </c>
      <c r="B50" s="3">
        <v>45064</v>
      </c>
      <c r="C50" s="4" t="s">
        <v>35</v>
      </c>
      <c r="D50" s="4" t="str">
        <f>_xlfn.XLOOKUP(TB_Vendas[[#This Row],[Código]],TB_Produtos[Código],TB_Produtos[Categoria])</f>
        <v>Acessórios</v>
      </c>
      <c r="E50" s="1">
        <v>4</v>
      </c>
      <c r="F50" s="7">
        <f>VLOOKUP(TB_Vendas[[#This Row],[Código]],Produtos!$B$6:$G$66,6,0)</f>
        <v>259.89999999999998</v>
      </c>
      <c r="G50" s="1">
        <f>_xlfn.XMATCH(TB_Vendas[[#This Row],[Categoria]],Desc_Categorias,0)</f>
        <v>2</v>
      </c>
      <c r="H50" s="43">
        <f>VLOOKUP(TB_Vendas[[#This Row],[Qtd]],Desc_TabelaToda,TB_Vendas[[#This Row],[Indice]],TRUE)</f>
        <v>0.15</v>
      </c>
      <c r="I50" s="43" cm="1">
        <f t="array" ref="I50">INDEX(Desc_TabelaToda,MATCH(TB_Vendas[[#This Row],[Qtd]],Desc_Quantidades,1),MATCH(_xlfn.XLOOKUP(TB_Vendas[[#This Row],[Código]],TB_Produtos[[#All],[Código]],TB_Produtos[[#All],[Categoria]]),Desc_Categorias,0))</f>
        <v>0.15</v>
      </c>
      <c r="J50" s="43">
        <f>_xlfn.XLOOKUP(TB_Vendas[[#This Row],[Vendedor]],Vendedores!$A$5:$A$9,Vendedores!$D$5:$D$9)</f>
        <v>0.15</v>
      </c>
      <c r="K50" s="43">
        <f>IF(TB_Vendas[[#This Row],[Desconto 
(Diretão)]]&lt;=TB_Vendas[[#This Row],[Desconto 
(Vendedor)]],TB_Vendas[[#This Row],[Desconto 
(Diretão)]],TB_Vendas[[#This Row],[Desconto 
(Vendedor)]])</f>
        <v>0.15</v>
      </c>
      <c r="L50" s="2">
        <f>TB_Vendas[[#This Row],[Preço Unitário]]*TB_Vendas[[#This Row],[Qtd]]</f>
        <v>1039.5999999999999</v>
      </c>
      <c r="M50" s="1" t="s">
        <v>114</v>
      </c>
    </row>
    <row r="51" spans="1:13">
      <c r="A51" s="4">
        <f>MONTH(TB_Vendas[[#This Row],[Data]])</f>
        <v>6</v>
      </c>
      <c r="B51" s="3">
        <v>45084</v>
      </c>
      <c r="C51" s="4" t="s">
        <v>34</v>
      </c>
      <c r="D51" s="4" t="str">
        <f>_xlfn.XLOOKUP(TB_Vendas[[#This Row],[Código]],TB_Produtos[Código],TB_Produtos[Categoria])</f>
        <v>Acessórios</v>
      </c>
      <c r="E51" s="1">
        <v>3</v>
      </c>
      <c r="F51" s="7">
        <f>VLOOKUP(TB_Vendas[[#This Row],[Código]],Produtos!$B$6:$G$66,6,0)</f>
        <v>145</v>
      </c>
      <c r="G51" s="1">
        <f>_xlfn.XMATCH(TB_Vendas[[#This Row],[Categoria]],Desc_Categorias,0)</f>
        <v>2</v>
      </c>
      <c r="H51" s="43">
        <f>VLOOKUP(TB_Vendas[[#This Row],[Qtd]],Desc_TabelaToda,TB_Vendas[[#This Row],[Indice]],TRUE)</f>
        <v>0.15</v>
      </c>
      <c r="I51" s="43" cm="1">
        <f t="array" ref="I51">INDEX(Desc_TabelaToda,MATCH(TB_Vendas[[#This Row],[Qtd]],Desc_Quantidades,1),MATCH(_xlfn.XLOOKUP(TB_Vendas[[#This Row],[Código]],TB_Produtos[[#All],[Código]],TB_Produtos[[#All],[Categoria]]),Desc_Categorias,0))</f>
        <v>0.15</v>
      </c>
      <c r="J51" s="43">
        <f>_xlfn.XLOOKUP(TB_Vendas[[#This Row],[Vendedor]],Vendedores!$A$5:$A$9,Vendedores!$D$5:$D$9)</f>
        <v>0.2</v>
      </c>
      <c r="K51" s="43">
        <f>IF(TB_Vendas[[#This Row],[Desconto 
(Diretão)]]&lt;=TB_Vendas[[#This Row],[Desconto 
(Vendedor)]],TB_Vendas[[#This Row],[Desconto 
(Diretão)]],TB_Vendas[[#This Row],[Desconto 
(Vendedor)]])</f>
        <v>0.15</v>
      </c>
      <c r="L51" s="2">
        <f>TB_Vendas[[#This Row],[Preço Unitário]]*TB_Vendas[[#This Row],[Qtd]]</f>
        <v>435</v>
      </c>
      <c r="M51" s="1" t="s">
        <v>113</v>
      </c>
    </row>
    <row r="52" spans="1:13">
      <c r="A52" s="4">
        <f>MONTH(TB_Vendas[[#This Row],[Data]])</f>
        <v>6</v>
      </c>
      <c r="B52" s="3">
        <v>45084</v>
      </c>
      <c r="C52" s="4" t="s">
        <v>68</v>
      </c>
      <c r="D52" s="4" t="str">
        <f>_xlfn.XLOOKUP(TB_Vendas[[#This Row],[Código]],TB_Produtos[Código],TB_Produtos[Categoria])</f>
        <v>Vestuário</v>
      </c>
      <c r="E52" s="1">
        <v>2</v>
      </c>
      <c r="F52" s="7">
        <f>VLOOKUP(TB_Vendas[[#This Row],[Código]],Produtos!$B$6:$G$66,6,0)</f>
        <v>142.9</v>
      </c>
      <c r="G52" s="1">
        <f>_xlfn.XMATCH(TB_Vendas[[#This Row],[Categoria]],Desc_Categorias,0)</f>
        <v>3</v>
      </c>
      <c r="H52" s="43">
        <f>VLOOKUP(TB_Vendas[[#This Row],[Qtd]],Desc_TabelaToda,TB_Vendas[[#This Row],[Indice]],TRUE)</f>
        <v>0.15</v>
      </c>
      <c r="I52" s="43" cm="1">
        <f t="array" ref="I52">INDEX(Desc_TabelaToda,MATCH(TB_Vendas[[#This Row],[Qtd]],Desc_Quantidades,1),MATCH(_xlfn.XLOOKUP(TB_Vendas[[#This Row],[Código]],TB_Produtos[[#All],[Código]],TB_Produtos[[#All],[Categoria]]),Desc_Categorias,0))</f>
        <v>0.15</v>
      </c>
      <c r="J52" s="43">
        <f>_xlfn.XLOOKUP(TB_Vendas[[#This Row],[Vendedor]],Vendedores!$A$5:$A$9,Vendedores!$D$5:$D$9)</f>
        <v>0.1</v>
      </c>
      <c r="K52" s="43">
        <f>IF(TB_Vendas[[#This Row],[Desconto 
(Diretão)]]&lt;=TB_Vendas[[#This Row],[Desconto 
(Vendedor)]],TB_Vendas[[#This Row],[Desconto 
(Diretão)]],TB_Vendas[[#This Row],[Desconto 
(Vendedor)]])</f>
        <v>0.1</v>
      </c>
      <c r="L52" s="2">
        <f>TB_Vendas[[#This Row],[Preço Unitário]]*TB_Vendas[[#This Row],[Qtd]]</f>
        <v>285.8</v>
      </c>
      <c r="M52" s="1" t="s">
        <v>115</v>
      </c>
    </row>
    <row r="53" spans="1:13">
      <c r="A53" s="4">
        <f>MONTH(TB_Vendas[[#This Row],[Data]])</f>
        <v>6</v>
      </c>
      <c r="B53" s="3">
        <v>45086</v>
      </c>
      <c r="C53" s="4" t="s">
        <v>109</v>
      </c>
      <c r="D53" s="4" t="str">
        <f>_xlfn.XLOOKUP(TB_Vendas[[#This Row],[Código]],TB_Produtos[Código],TB_Produtos[Categoria])</f>
        <v>Vestuário</v>
      </c>
      <c r="E53" s="1">
        <v>2</v>
      </c>
      <c r="F53" s="7">
        <f>VLOOKUP(TB_Vendas[[#This Row],[Código]],Produtos!$B$6:$G$66,6,0)</f>
        <v>180</v>
      </c>
      <c r="G53" s="1">
        <f>_xlfn.XMATCH(TB_Vendas[[#This Row],[Categoria]],Desc_Categorias,0)</f>
        <v>3</v>
      </c>
      <c r="H53" s="43">
        <f>VLOOKUP(TB_Vendas[[#This Row],[Qtd]],Desc_TabelaToda,TB_Vendas[[#This Row],[Indice]],TRUE)</f>
        <v>0.15</v>
      </c>
      <c r="I53" s="43" cm="1">
        <f t="array" ref="I53">INDEX(Desc_TabelaToda,MATCH(TB_Vendas[[#This Row],[Qtd]],Desc_Quantidades,1),MATCH(_xlfn.XLOOKUP(TB_Vendas[[#This Row],[Código]],TB_Produtos[[#All],[Código]],TB_Produtos[[#All],[Categoria]]),Desc_Categorias,0))</f>
        <v>0.15</v>
      </c>
      <c r="J53" s="43">
        <f>_xlfn.XLOOKUP(TB_Vendas[[#This Row],[Vendedor]],Vendedores!$A$5:$A$9,Vendedores!$D$5:$D$9)</f>
        <v>0.2</v>
      </c>
      <c r="K53" s="43">
        <f>IF(TB_Vendas[[#This Row],[Desconto 
(Diretão)]]&lt;=TB_Vendas[[#This Row],[Desconto 
(Vendedor)]],TB_Vendas[[#This Row],[Desconto 
(Diretão)]],TB_Vendas[[#This Row],[Desconto 
(Vendedor)]])</f>
        <v>0.15</v>
      </c>
      <c r="L53" s="2">
        <f>TB_Vendas[[#This Row],[Preço Unitário]]*TB_Vendas[[#This Row],[Qtd]]</f>
        <v>360</v>
      </c>
      <c r="M53" s="1" t="s">
        <v>113</v>
      </c>
    </row>
    <row r="54" spans="1:13">
      <c r="A54" s="4">
        <f>MONTH(TB_Vendas[[#This Row],[Data]])</f>
        <v>6</v>
      </c>
      <c r="B54" s="3">
        <v>45086</v>
      </c>
      <c r="C54" s="4" t="s">
        <v>45</v>
      </c>
      <c r="D54" s="4" t="str">
        <f>_xlfn.XLOOKUP(TB_Vendas[[#This Row],[Código]],TB_Produtos[Código],TB_Produtos[Categoria])</f>
        <v>Vestuário</v>
      </c>
      <c r="E54" s="1">
        <v>2</v>
      </c>
      <c r="F54" s="7">
        <f>VLOOKUP(TB_Vendas[[#This Row],[Código]],Produtos!$B$6:$G$66,6,0)</f>
        <v>42.5</v>
      </c>
      <c r="G54" s="1">
        <f>_xlfn.XMATCH(TB_Vendas[[#This Row],[Categoria]],Desc_Categorias,0)</f>
        <v>3</v>
      </c>
      <c r="H54" s="43">
        <f>VLOOKUP(TB_Vendas[[#This Row],[Qtd]],Desc_TabelaToda,TB_Vendas[[#This Row],[Indice]],TRUE)</f>
        <v>0.15</v>
      </c>
      <c r="I54" s="43" cm="1">
        <f t="array" ref="I54">INDEX(Desc_TabelaToda,MATCH(TB_Vendas[[#This Row],[Qtd]],Desc_Quantidades,1),MATCH(_xlfn.XLOOKUP(TB_Vendas[[#This Row],[Código]],TB_Produtos[[#All],[Código]],TB_Produtos[[#All],[Categoria]]),Desc_Categorias,0))</f>
        <v>0.15</v>
      </c>
      <c r="J54" s="43">
        <f>_xlfn.XLOOKUP(TB_Vendas[[#This Row],[Vendedor]],Vendedores!$A$5:$A$9,Vendedores!$D$5:$D$9)</f>
        <v>0.1</v>
      </c>
      <c r="K54" s="43">
        <f>IF(TB_Vendas[[#This Row],[Desconto 
(Diretão)]]&lt;=TB_Vendas[[#This Row],[Desconto 
(Vendedor)]],TB_Vendas[[#This Row],[Desconto 
(Diretão)]],TB_Vendas[[#This Row],[Desconto 
(Vendedor)]])</f>
        <v>0.1</v>
      </c>
      <c r="L54" s="2">
        <f>TB_Vendas[[#This Row],[Preço Unitário]]*TB_Vendas[[#This Row],[Qtd]]</f>
        <v>85</v>
      </c>
      <c r="M54" s="1" t="s">
        <v>115</v>
      </c>
    </row>
    <row r="55" spans="1:13">
      <c r="A55" s="4">
        <f>MONTH(TB_Vendas[[#This Row],[Data]])</f>
        <v>6</v>
      </c>
      <c r="B55" s="3">
        <v>45088</v>
      </c>
      <c r="C55" s="4" t="s">
        <v>31</v>
      </c>
      <c r="D55" s="4" t="str">
        <f>_xlfn.XLOOKUP(TB_Vendas[[#This Row],[Código]],TB_Produtos[Código],TB_Produtos[Categoria])</f>
        <v>Vestuário</v>
      </c>
      <c r="E55" s="1">
        <v>1</v>
      </c>
      <c r="F55" s="7">
        <f>VLOOKUP(TB_Vendas[[#This Row],[Código]],Produtos!$B$6:$G$66,6,0)</f>
        <v>65.900000000000006</v>
      </c>
      <c r="G55" s="1">
        <f>_xlfn.XMATCH(TB_Vendas[[#This Row],[Categoria]],Desc_Categorias,0)</f>
        <v>3</v>
      </c>
      <c r="H55" s="43">
        <f>VLOOKUP(TB_Vendas[[#This Row],[Qtd]],Desc_TabelaToda,TB_Vendas[[#This Row],[Indice]],TRUE)</f>
        <v>0.1</v>
      </c>
      <c r="I55" s="43" cm="1">
        <f t="array" ref="I55">INDEX(Desc_TabelaToda,MATCH(TB_Vendas[[#This Row],[Qtd]],Desc_Quantidades,1),MATCH(_xlfn.XLOOKUP(TB_Vendas[[#This Row],[Código]],TB_Produtos[[#All],[Código]],TB_Produtos[[#All],[Categoria]]),Desc_Categorias,0))</f>
        <v>0.1</v>
      </c>
      <c r="J55" s="43">
        <f>_xlfn.XLOOKUP(TB_Vendas[[#This Row],[Vendedor]],Vendedores!$A$5:$A$9,Vendedores!$D$5:$D$9)</f>
        <v>0.15</v>
      </c>
      <c r="K55" s="43">
        <f>IF(TB_Vendas[[#This Row],[Desconto 
(Diretão)]]&lt;=TB_Vendas[[#This Row],[Desconto 
(Vendedor)]],TB_Vendas[[#This Row],[Desconto 
(Diretão)]],TB_Vendas[[#This Row],[Desconto 
(Vendedor)]])</f>
        <v>0.1</v>
      </c>
      <c r="L55" s="2">
        <f>TB_Vendas[[#This Row],[Preço Unitário]]*TB_Vendas[[#This Row],[Qtd]]</f>
        <v>65.900000000000006</v>
      </c>
      <c r="M55" s="1" t="s">
        <v>114</v>
      </c>
    </row>
    <row r="56" spans="1:13">
      <c r="A56" s="4">
        <f>MONTH(TB_Vendas[[#This Row],[Data]])</f>
        <v>6</v>
      </c>
      <c r="B56" s="3">
        <v>45090</v>
      </c>
      <c r="C56" s="4" t="s">
        <v>106</v>
      </c>
      <c r="D56" s="4" t="str">
        <f>_xlfn.XLOOKUP(TB_Vendas[[#This Row],[Código]],TB_Produtos[Código],TB_Produtos[Categoria])</f>
        <v>Vestuário</v>
      </c>
      <c r="E56" s="1">
        <v>1</v>
      </c>
      <c r="F56" s="7">
        <f>VLOOKUP(TB_Vendas[[#This Row],[Código]],Produtos!$B$6:$G$66,6,0)</f>
        <v>180</v>
      </c>
      <c r="G56" s="1">
        <f>_xlfn.XMATCH(TB_Vendas[[#This Row],[Categoria]],Desc_Categorias,0)</f>
        <v>3</v>
      </c>
      <c r="H56" s="43">
        <f>VLOOKUP(TB_Vendas[[#This Row],[Qtd]],Desc_TabelaToda,TB_Vendas[[#This Row],[Indice]],TRUE)</f>
        <v>0.1</v>
      </c>
      <c r="I56" s="43" cm="1">
        <f t="array" ref="I56">INDEX(Desc_TabelaToda,MATCH(TB_Vendas[[#This Row],[Qtd]],Desc_Quantidades,1),MATCH(_xlfn.XLOOKUP(TB_Vendas[[#This Row],[Código]],TB_Produtos[[#All],[Código]],TB_Produtos[[#All],[Categoria]]),Desc_Categorias,0))</f>
        <v>0.1</v>
      </c>
      <c r="J56" s="43">
        <f>_xlfn.XLOOKUP(TB_Vendas[[#This Row],[Vendedor]],Vendedores!$A$5:$A$9,Vendedores!$D$5:$D$9)</f>
        <v>0.1</v>
      </c>
      <c r="K56" s="43">
        <f>IF(TB_Vendas[[#This Row],[Desconto 
(Diretão)]]&lt;=TB_Vendas[[#This Row],[Desconto 
(Vendedor)]],TB_Vendas[[#This Row],[Desconto 
(Diretão)]],TB_Vendas[[#This Row],[Desconto 
(Vendedor)]])</f>
        <v>0.1</v>
      </c>
      <c r="L56" s="2">
        <f>TB_Vendas[[#This Row],[Preço Unitário]]*TB_Vendas[[#This Row],[Qtd]]</f>
        <v>180</v>
      </c>
      <c r="M56" s="1" t="s">
        <v>115</v>
      </c>
    </row>
    <row r="57" spans="1:13">
      <c r="A57" s="4">
        <f>MONTH(TB_Vendas[[#This Row],[Data]])</f>
        <v>6</v>
      </c>
      <c r="B57" s="3">
        <v>45093</v>
      </c>
      <c r="C57" s="4" t="s">
        <v>96</v>
      </c>
      <c r="D57" s="4" t="str">
        <f>_xlfn.XLOOKUP(TB_Vendas[[#This Row],[Código]],TB_Produtos[Código],TB_Produtos[Categoria])</f>
        <v>Vestuário</v>
      </c>
      <c r="E57" s="1">
        <v>3</v>
      </c>
      <c r="F57" s="7">
        <f>VLOOKUP(TB_Vendas[[#This Row],[Código]],Produtos!$B$6:$G$66,6,0)</f>
        <v>32.9</v>
      </c>
      <c r="G57" s="1">
        <f>_xlfn.XMATCH(TB_Vendas[[#This Row],[Categoria]],Desc_Categorias,0)</f>
        <v>3</v>
      </c>
      <c r="H57" s="43">
        <f>VLOOKUP(TB_Vendas[[#This Row],[Qtd]],Desc_TabelaToda,TB_Vendas[[#This Row],[Indice]],TRUE)</f>
        <v>0.2</v>
      </c>
      <c r="I57" s="43" cm="1">
        <f t="array" ref="I57">INDEX(Desc_TabelaToda,MATCH(TB_Vendas[[#This Row],[Qtd]],Desc_Quantidades,1),MATCH(_xlfn.XLOOKUP(TB_Vendas[[#This Row],[Código]],TB_Produtos[[#All],[Código]],TB_Produtos[[#All],[Categoria]]),Desc_Categorias,0))</f>
        <v>0.2</v>
      </c>
      <c r="J57" s="43">
        <f>_xlfn.XLOOKUP(TB_Vendas[[#This Row],[Vendedor]],Vendedores!$A$5:$A$9,Vendedores!$D$5:$D$9)</f>
        <v>0.15</v>
      </c>
      <c r="K57" s="43">
        <f>IF(TB_Vendas[[#This Row],[Desconto 
(Diretão)]]&lt;=TB_Vendas[[#This Row],[Desconto 
(Vendedor)]],TB_Vendas[[#This Row],[Desconto 
(Diretão)]],TB_Vendas[[#This Row],[Desconto 
(Vendedor)]])</f>
        <v>0.15</v>
      </c>
      <c r="L57" s="2">
        <f>TB_Vendas[[#This Row],[Preço Unitário]]*TB_Vendas[[#This Row],[Qtd]]</f>
        <v>98.699999999999989</v>
      </c>
      <c r="M57" s="1" t="s">
        <v>114</v>
      </c>
    </row>
    <row r="58" spans="1:13">
      <c r="A58" s="4">
        <f>MONTH(TB_Vendas[[#This Row],[Data]])</f>
        <v>6</v>
      </c>
      <c r="B58" s="3">
        <v>45093</v>
      </c>
      <c r="C58" s="4" t="s">
        <v>39</v>
      </c>
      <c r="D58" s="4" t="str">
        <f>_xlfn.XLOOKUP(TB_Vendas[[#This Row],[Código]],TB_Produtos[Código],TB_Produtos[Categoria])</f>
        <v>Vestuário</v>
      </c>
      <c r="E58" s="1">
        <v>4</v>
      </c>
      <c r="F58" s="7">
        <f>VLOOKUP(TB_Vendas[[#This Row],[Código]],Produtos!$B$6:$G$66,6,0)</f>
        <v>92.9</v>
      </c>
      <c r="G58" s="1">
        <f>_xlfn.XMATCH(TB_Vendas[[#This Row],[Categoria]],Desc_Categorias,0)</f>
        <v>3</v>
      </c>
      <c r="H58" s="43">
        <f>VLOOKUP(TB_Vendas[[#This Row],[Qtd]],Desc_TabelaToda,TB_Vendas[[#This Row],[Indice]],TRUE)</f>
        <v>0.2</v>
      </c>
      <c r="I58" s="43" cm="1">
        <f t="array" ref="I58">INDEX(Desc_TabelaToda,MATCH(TB_Vendas[[#This Row],[Qtd]],Desc_Quantidades,1),MATCH(_xlfn.XLOOKUP(TB_Vendas[[#This Row],[Código]],TB_Produtos[[#All],[Código]],TB_Produtos[[#All],[Categoria]]),Desc_Categorias,0))</f>
        <v>0.2</v>
      </c>
      <c r="J58" s="43">
        <f>_xlfn.XLOOKUP(TB_Vendas[[#This Row],[Vendedor]],Vendedores!$A$5:$A$9,Vendedores!$D$5:$D$9)</f>
        <v>0.2</v>
      </c>
      <c r="K58" s="43">
        <f>IF(TB_Vendas[[#This Row],[Desconto 
(Diretão)]]&lt;=TB_Vendas[[#This Row],[Desconto 
(Vendedor)]],TB_Vendas[[#This Row],[Desconto 
(Diretão)]],TB_Vendas[[#This Row],[Desconto 
(Vendedor)]])</f>
        <v>0.2</v>
      </c>
      <c r="L58" s="2">
        <f>TB_Vendas[[#This Row],[Preço Unitário]]*TB_Vendas[[#This Row],[Qtd]]</f>
        <v>371.6</v>
      </c>
      <c r="M58" s="1" t="s">
        <v>113</v>
      </c>
    </row>
    <row r="59" spans="1:13">
      <c r="A59" s="4">
        <f>MONTH(TB_Vendas[[#This Row],[Data]])</f>
        <v>6</v>
      </c>
      <c r="B59" s="3">
        <v>45094</v>
      </c>
      <c r="C59" s="4" t="s">
        <v>63</v>
      </c>
      <c r="D59" s="4" t="str">
        <f>_xlfn.XLOOKUP(TB_Vendas[[#This Row],[Código]],TB_Produtos[Código],TB_Produtos[Categoria])</f>
        <v>Calçado</v>
      </c>
      <c r="E59" s="1">
        <v>2</v>
      </c>
      <c r="F59" s="7">
        <f>VLOOKUP(TB_Vendas[[#This Row],[Código]],Produtos!$B$6:$G$66,6,0)</f>
        <v>259.89999999999998</v>
      </c>
      <c r="G59" s="1">
        <f>_xlfn.XMATCH(TB_Vendas[[#This Row],[Categoria]],Desc_Categorias,0)</f>
        <v>4</v>
      </c>
      <c r="H59" s="43">
        <f>VLOOKUP(TB_Vendas[[#This Row],[Qtd]],Desc_TabelaToda,TB_Vendas[[#This Row],[Indice]],TRUE)</f>
        <v>0.1</v>
      </c>
      <c r="I59" s="43" cm="1">
        <f t="array" ref="I59">INDEX(Desc_TabelaToda,MATCH(TB_Vendas[[#This Row],[Qtd]],Desc_Quantidades,1),MATCH(_xlfn.XLOOKUP(TB_Vendas[[#This Row],[Código]],TB_Produtos[[#All],[Código]],TB_Produtos[[#All],[Categoria]]),Desc_Categorias,0))</f>
        <v>0.1</v>
      </c>
      <c r="J59" s="43">
        <f>_xlfn.XLOOKUP(TB_Vendas[[#This Row],[Vendedor]],Vendedores!$A$5:$A$9,Vendedores!$D$5:$D$9)</f>
        <v>0.1</v>
      </c>
      <c r="K59" s="43">
        <f>IF(TB_Vendas[[#This Row],[Desconto 
(Diretão)]]&lt;=TB_Vendas[[#This Row],[Desconto 
(Vendedor)]],TB_Vendas[[#This Row],[Desconto 
(Diretão)]],TB_Vendas[[#This Row],[Desconto 
(Vendedor)]])</f>
        <v>0.1</v>
      </c>
      <c r="L59" s="2">
        <f>TB_Vendas[[#This Row],[Preço Unitário]]*TB_Vendas[[#This Row],[Qtd]]</f>
        <v>519.79999999999995</v>
      </c>
      <c r="M59" s="1" t="s">
        <v>115</v>
      </c>
    </row>
    <row r="60" spans="1:13">
      <c r="A60" s="4">
        <f>MONTH(TB_Vendas[[#This Row],[Data]])</f>
        <v>6</v>
      </c>
      <c r="B60" s="3">
        <v>45097</v>
      </c>
      <c r="C60" s="4" t="s">
        <v>54</v>
      </c>
      <c r="D60" s="4" t="str">
        <f>_xlfn.XLOOKUP(TB_Vendas[[#This Row],[Código]],TB_Produtos[Código],TB_Produtos[Categoria])</f>
        <v>Vestuário</v>
      </c>
      <c r="E60" s="1">
        <v>1</v>
      </c>
      <c r="F60" s="7">
        <f>VLOOKUP(TB_Vendas[[#This Row],[Código]],Produtos!$B$6:$G$66,6,0)</f>
        <v>259.89999999999998</v>
      </c>
      <c r="G60" s="1">
        <f>_xlfn.XMATCH(TB_Vendas[[#This Row],[Categoria]],Desc_Categorias,0)</f>
        <v>3</v>
      </c>
      <c r="H60" s="43">
        <f>VLOOKUP(TB_Vendas[[#This Row],[Qtd]],Desc_TabelaToda,TB_Vendas[[#This Row],[Indice]],TRUE)</f>
        <v>0.1</v>
      </c>
      <c r="I60" s="43" cm="1">
        <f t="array" ref="I60">INDEX(Desc_TabelaToda,MATCH(TB_Vendas[[#This Row],[Qtd]],Desc_Quantidades,1),MATCH(_xlfn.XLOOKUP(TB_Vendas[[#This Row],[Código]],TB_Produtos[[#All],[Código]],TB_Produtos[[#All],[Categoria]]),Desc_Categorias,0))</f>
        <v>0.1</v>
      </c>
      <c r="J60" s="43">
        <f>_xlfn.XLOOKUP(TB_Vendas[[#This Row],[Vendedor]],Vendedores!$A$5:$A$9,Vendedores!$D$5:$D$9)</f>
        <v>0.15</v>
      </c>
      <c r="K60" s="43">
        <f>IF(TB_Vendas[[#This Row],[Desconto 
(Diretão)]]&lt;=TB_Vendas[[#This Row],[Desconto 
(Vendedor)]],TB_Vendas[[#This Row],[Desconto 
(Diretão)]],TB_Vendas[[#This Row],[Desconto 
(Vendedor)]])</f>
        <v>0.1</v>
      </c>
      <c r="L60" s="2">
        <f>TB_Vendas[[#This Row],[Preço Unitário]]*TB_Vendas[[#This Row],[Qtd]]</f>
        <v>259.89999999999998</v>
      </c>
      <c r="M60" s="1" t="s">
        <v>117</v>
      </c>
    </row>
    <row r="61" spans="1:13">
      <c r="A61" s="4">
        <f>MONTH(TB_Vendas[[#This Row],[Data]])</f>
        <v>6</v>
      </c>
      <c r="B61" s="3">
        <v>45105</v>
      </c>
      <c r="C61" s="4" t="s">
        <v>45</v>
      </c>
      <c r="D61" s="4" t="str">
        <f>_xlfn.XLOOKUP(TB_Vendas[[#This Row],[Código]],TB_Produtos[Código],TB_Produtos[Categoria])</f>
        <v>Vestuário</v>
      </c>
      <c r="E61" s="1">
        <v>5</v>
      </c>
      <c r="F61" s="7">
        <f>VLOOKUP(TB_Vendas[[#This Row],[Código]],Produtos!$B$6:$G$66,6,0)</f>
        <v>42.5</v>
      </c>
      <c r="G61" s="1">
        <f>_xlfn.XMATCH(TB_Vendas[[#This Row],[Categoria]],Desc_Categorias,0)</f>
        <v>3</v>
      </c>
      <c r="H61" s="43">
        <f>VLOOKUP(TB_Vendas[[#This Row],[Qtd]],Desc_TabelaToda,TB_Vendas[[#This Row],[Indice]],TRUE)</f>
        <v>0.25</v>
      </c>
      <c r="I61" s="43" cm="1">
        <f t="array" ref="I61">INDEX(Desc_TabelaToda,MATCH(TB_Vendas[[#This Row],[Qtd]],Desc_Quantidades,1),MATCH(_xlfn.XLOOKUP(TB_Vendas[[#This Row],[Código]],TB_Produtos[[#All],[Código]],TB_Produtos[[#All],[Categoria]]),Desc_Categorias,0))</f>
        <v>0.25</v>
      </c>
      <c r="J61" s="43">
        <f>_xlfn.XLOOKUP(TB_Vendas[[#This Row],[Vendedor]],Vendedores!$A$5:$A$9,Vendedores!$D$5:$D$9)</f>
        <v>0.15</v>
      </c>
      <c r="K61" s="43">
        <f>IF(TB_Vendas[[#This Row],[Desconto 
(Diretão)]]&lt;=TB_Vendas[[#This Row],[Desconto 
(Vendedor)]],TB_Vendas[[#This Row],[Desconto 
(Diretão)]],TB_Vendas[[#This Row],[Desconto 
(Vendedor)]])</f>
        <v>0.15</v>
      </c>
      <c r="L61" s="2">
        <f>TB_Vendas[[#This Row],[Preço Unitário]]*TB_Vendas[[#This Row],[Qtd]]</f>
        <v>212.5</v>
      </c>
      <c r="M61" s="1" t="s">
        <v>117</v>
      </c>
    </row>
    <row r="62" spans="1:13">
      <c r="A62" s="4">
        <f>MONTH(TB_Vendas[[#This Row],[Data]])</f>
        <v>6</v>
      </c>
      <c r="B62" s="3">
        <v>45105</v>
      </c>
      <c r="C62" s="4" t="s">
        <v>96</v>
      </c>
      <c r="D62" s="4" t="str">
        <f>_xlfn.XLOOKUP(TB_Vendas[[#This Row],[Código]],TB_Produtos[Código],TB_Produtos[Categoria])</f>
        <v>Vestuário</v>
      </c>
      <c r="E62" s="1">
        <v>2</v>
      </c>
      <c r="F62" s="7">
        <f>VLOOKUP(TB_Vendas[[#This Row],[Código]],Produtos!$B$6:$G$66,6,0)</f>
        <v>32.9</v>
      </c>
      <c r="G62" s="1">
        <f>_xlfn.XMATCH(TB_Vendas[[#This Row],[Categoria]],Desc_Categorias,0)</f>
        <v>3</v>
      </c>
      <c r="H62" s="43">
        <f>VLOOKUP(TB_Vendas[[#This Row],[Qtd]],Desc_TabelaToda,TB_Vendas[[#This Row],[Indice]],TRUE)</f>
        <v>0.15</v>
      </c>
      <c r="I62" s="43" cm="1">
        <f t="array" ref="I62">INDEX(Desc_TabelaToda,MATCH(TB_Vendas[[#This Row],[Qtd]],Desc_Quantidades,1),MATCH(_xlfn.XLOOKUP(TB_Vendas[[#This Row],[Código]],TB_Produtos[[#All],[Código]],TB_Produtos[[#All],[Categoria]]),Desc_Categorias,0))</f>
        <v>0.15</v>
      </c>
      <c r="J62" s="43">
        <f>_xlfn.XLOOKUP(TB_Vendas[[#This Row],[Vendedor]],Vendedores!$A$5:$A$9,Vendedores!$D$5:$D$9)</f>
        <v>0.15</v>
      </c>
      <c r="K62" s="43">
        <f>IF(TB_Vendas[[#This Row],[Desconto 
(Diretão)]]&lt;=TB_Vendas[[#This Row],[Desconto 
(Vendedor)]],TB_Vendas[[#This Row],[Desconto 
(Diretão)]],TB_Vendas[[#This Row],[Desconto 
(Vendedor)]])</f>
        <v>0.15</v>
      </c>
      <c r="L62" s="2">
        <f>TB_Vendas[[#This Row],[Preço Unitário]]*TB_Vendas[[#This Row],[Qtd]]</f>
        <v>65.8</v>
      </c>
      <c r="M62" s="1" t="s">
        <v>117</v>
      </c>
    </row>
    <row r="63" spans="1:13">
      <c r="A63" s="4">
        <f>MONTH(TB_Vendas[[#This Row],[Data]])</f>
        <v>6</v>
      </c>
      <c r="B63" s="3">
        <v>45106</v>
      </c>
      <c r="C63" s="4" t="s">
        <v>39</v>
      </c>
      <c r="D63" s="4" t="str">
        <f>_xlfn.XLOOKUP(TB_Vendas[[#This Row],[Código]],TB_Produtos[Código],TB_Produtos[Categoria])</f>
        <v>Vestuário</v>
      </c>
      <c r="E63" s="1">
        <v>3</v>
      </c>
      <c r="F63" s="7">
        <f>VLOOKUP(TB_Vendas[[#This Row],[Código]],Produtos!$B$6:$G$66,6,0)</f>
        <v>92.9</v>
      </c>
      <c r="G63" s="1">
        <f>_xlfn.XMATCH(TB_Vendas[[#This Row],[Categoria]],Desc_Categorias,0)</f>
        <v>3</v>
      </c>
      <c r="H63" s="43">
        <f>VLOOKUP(TB_Vendas[[#This Row],[Qtd]],Desc_TabelaToda,TB_Vendas[[#This Row],[Indice]],TRUE)</f>
        <v>0.2</v>
      </c>
      <c r="I63" s="43" cm="1">
        <f t="array" ref="I63">INDEX(Desc_TabelaToda,MATCH(TB_Vendas[[#This Row],[Qtd]],Desc_Quantidades,1),MATCH(_xlfn.XLOOKUP(TB_Vendas[[#This Row],[Código]],TB_Produtos[[#All],[Código]],TB_Produtos[[#All],[Categoria]]),Desc_Categorias,0))</f>
        <v>0.2</v>
      </c>
      <c r="J63" s="43">
        <f>_xlfn.XLOOKUP(TB_Vendas[[#This Row],[Vendedor]],Vendedores!$A$5:$A$9,Vendedores!$D$5:$D$9)</f>
        <v>0.2</v>
      </c>
      <c r="K63" s="43">
        <f>IF(TB_Vendas[[#This Row],[Desconto 
(Diretão)]]&lt;=TB_Vendas[[#This Row],[Desconto 
(Vendedor)]],TB_Vendas[[#This Row],[Desconto 
(Diretão)]],TB_Vendas[[#This Row],[Desconto 
(Vendedor)]])</f>
        <v>0.2</v>
      </c>
      <c r="L63" s="2">
        <f>TB_Vendas[[#This Row],[Preço Unitário]]*TB_Vendas[[#This Row],[Qtd]]</f>
        <v>278.70000000000005</v>
      </c>
      <c r="M63" s="1" t="s">
        <v>113</v>
      </c>
    </row>
    <row r="64" spans="1:13">
      <c r="A64" s="1">
        <f>MONTH(TB_Vendas[[#This Row],[Data]])</f>
        <v>6</v>
      </c>
      <c r="B64" s="3">
        <v>45107</v>
      </c>
      <c r="C64" s="4" t="s">
        <v>46</v>
      </c>
      <c r="D64" s="4" t="str">
        <f>_xlfn.XLOOKUP(TB_Vendas[[#This Row],[Código]],TB_Produtos[Código],TB_Produtos[Categoria])</f>
        <v>Vestuário</v>
      </c>
      <c r="E64" s="1">
        <v>10</v>
      </c>
      <c r="F64" s="7">
        <f>VLOOKUP(TB_Vendas[[#This Row],[Código]],Produtos!$B$6:$G$66,6,0)</f>
        <v>25.9</v>
      </c>
      <c r="G64" s="1">
        <f>_xlfn.XMATCH(TB_Vendas[[#This Row],[Categoria]],Desc_Categorias,0)</f>
        <v>3</v>
      </c>
      <c r="H64" s="43">
        <f>VLOOKUP(TB_Vendas[[#This Row],[Qtd]],Desc_TabelaToda,TB_Vendas[[#This Row],[Indice]],TRUE)</f>
        <v>0.3</v>
      </c>
      <c r="I64" s="43" cm="1">
        <f t="array" ref="I64">INDEX(Desc_TabelaToda,MATCH(TB_Vendas[[#This Row],[Qtd]],Desc_Quantidades,1),MATCH(_xlfn.XLOOKUP(TB_Vendas[[#This Row],[Código]],TB_Produtos[[#All],[Código]],TB_Produtos[[#All],[Categoria]]),Desc_Categorias,0))</f>
        <v>0.3</v>
      </c>
      <c r="J64" s="43">
        <f>_xlfn.XLOOKUP(TB_Vendas[[#This Row],[Vendedor]],Vendedores!$A$5:$A$9,Vendedores!$D$5:$D$9)</f>
        <v>0.2</v>
      </c>
      <c r="K64" s="43">
        <f>IF(TB_Vendas[[#This Row],[Desconto 
(Diretão)]]&lt;=TB_Vendas[[#This Row],[Desconto 
(Vendedor)]],TB_Vendas[[#This Row],[Desconto 
(Diretão)]],TB_Vendas[[#This Row],[Desconto 
(Vendedor)]])</f>
        <v>0.2</v>
      </c>
      <c r="L64" s="2">
        <f>TB_Vendas[[#This Row],[Preço Unitário]]*TB_Vendas[[#This Row],[Qtd]]</f>
        <v>259</v>
      </c>
      <c r="M64" s="1" t="s">
        <v>113</v>
      </c>
    </row>
    <row r="65" spans="1:13">
      <c r="A65" s="1">
        <f>MONTH(TB_Vendas[[#This Row],[Data]])</f>
        <v>7</v>
      </c>
      <c r="B65" s="3">
        <v>45112</v>
      </c>
      <c r="C65" s="4" t="s">
        <v>88</v>
      </c>
      <c r="D65" s="4" t="str">
        <f>_xlfn.XLOOKUP(TB_Vendas[[#This Row],[Código]],TB_Produtos[Código],TB_Produtos[Categoria])</f>
        <v>Vestuário</v>
      </c>
      <c r="E65" s="1">
        <v>1</v>
      </c>
      <c r="F65" s="7">
        <f>VLOOKUP(TB_Vendas[[#This Row],[Código]],Produtos!$B$6:$G$66,6,0)</f>
        <v>72.5</v>
      </c>
      <c r="G65" s="1">
        <f>_xlfn.XMATCH(TB_Vendas[[#This Row],[Categoria]],Desc_Categorias,0)</f>
        <v>3</v>
      </c>
      <c r="H65" s="43">
        <f>VLOOKUP(TB_Vendas[[#This Row],[Qtd]],Desc_TabelaToda,TB_Vendas[[#This Row],[Indice]],TRUE)</f>
        <v>0.1</v>
      </c>
      <c r="I65" s="43" cm="1">
        <f t="array" ref="I65">INDEX(Desc_TabelaToda,MATCH(TB_Vendas[[#This Row],[Qtd]],Desc_Quantidades,1),MATCH(_xlfn.XLOOKUP(TB_Vendas[[#This Row],[Código]],TB_Produtos[[#All],[Código]],TB_Produtos[[#All],[Categoria]]),Desc_Categorias,0))</f>
        <v>0.1</v>
      </c>
      <c r="J65" s="43">
        <f>_xlfn.XLOOKUP(TB_Vendas[[#This Row],[Vendedor]],Vendedores!$A$5:$A$9,Vendedores!$D$5:$D$9)</f>
        <v>0.15</v>
      </c>
      <c r="K65" s="43">
        <f>IF(TB_Vendas[[#This Row],[Desconto 
(Diretão)]]&lt;=TB_Vendas[[#This Row],[Desconto 
(Vendedor)]],TB_Vendas[[#This Row],[Desconto 
(Diretão)]],TB_Vendas[[#This Row],[Desconto 
(Vendedor)]])</f>
        <v>0.1</v>
      </c>
      <c r="L65" s="2">
        <f>TB_Vendas[[#This Row],[Preço Unitário]]*TB_Vendas[[#This Row],[Qtd]]</f>
        <v>72.5</v>
      </c>
      <c r="M65" s="1" t="s">
        <v>114</v>
      </c>
    </row>
    <row r="66" spans="1:13">
      <c r="A66" s="1">
        <f>MONTH(TB_Vendas[[#This Row],[Data]])</f>
        <v>7</v>
      </c>
      <c r="B66" s="3">
        <v>45113</v>
      </c>
      <c r="C66" s="4" t="s">
        <v>51</v>
      </c>
      <c r="D66" s="4" t="str">
        <f>_xlfn.XLOOKUP(TB_Vendas[[#This Row],[Código]],TB_Produtos[Código],TB_Produtos[Categoria])</f>
        <v>Vestuário</v>
      </c>
      <c r="E66" s="1">
        <v>4</v>
      </c>
      <c r="F66" s="7">
        <f>VLOOKUP(TB_Vendas[[#This Row],[Código]],Produtos!$B$6:$G$66,6,0)</f>
        <v>302.89999999999998</v>
      </c>
      <c r="G66" s="1">
        <f>_xlfn.XMATCH(TB_Vendas[[#This Row],[Categoria]],Desc_Categorias,0)</f>
        <v>3</v>
      </c>
      <c r="H66" s="43">
        <f>VLOOKUP(TB_Vendas[[#This Row],[Qtd]],Desc_TabelaToda,TB_Vendas[[#This Row],[Indice]],TRUE)</f>
        <v>0.2</v>
      </c>
      <c r="I66" s="43" cm="1">
        <f t="array" ref="I66">INDEX(Desc_TabelaToda,MATCH(TB_Vendas[[#This Row],[Qtd]],Desc_Quantidades,1),MATCH(_xlfn.XLOOKUP(TB_Vendas[[#This Row],[Código]],TB_Produtos[[#All],[Código]],TB_Produtos[[#All],[Categoria]]),Desc_Categorias,0))</f>
        <v>0.2</v>
      </c>
      <c r="J66" s="43">
        <f>_xlfn.XLOOKUP(TB_Vendas[[#This Row],[Vendedor]],Vendedores!$A$5:$A$9,Vendedores!$D$5:$D$9)</f>
        <v>0.15</v>
      </c>
      <c r="K66" s="43">
        <f>IF(TB_Vendas[[#This Row],[Desconto 
(Diretão)]]&lt;=TB_Vendas[[#This Row],[Desconto 
(Vendedor)]],TB_Vendas[[#This Row],[Desconto 
(Diretão)]],TB_Vendas[[#This Row],[Desconto 
(Vendedor)]])</f>
        <v>0.15</v>
      </c>
      <c r="L66" s="2">
        <f>TB_Vendas[[#This Row],[Preço Unitário]]*TB_Vendas[[#This Row],[Qtd]]</f>
        <v>1211.5999999999999</v>
      </c>
      <c r="M66" s="1" t="s">
        <v>117</v>
      </c>
    </row>
    <row r="67" spans="1:13">
      <c r="A67" s="1">
        <f>MONTH(TB_Vendas[[#This Row],[Data]])</f>
        <v>7</v>
      </c>
      <c r="B67" s="3">
        <v>45114</v>
      </c>
      <c r="C67" s="4" t="s">
        <v>93</v>
      </c>
      <c r="D67" s="4" t="str">
        <f>_xlfn.XLOOKUP(TB_Vendas[[#This Row],[Código]],TB_Produtos[Código],TB_Produtos[Categoria])</f>
        <v>Vestuário</v>
      </c>
      <c r="E67" s="1">
        <v>8</v>
      </c>
      <c r="F67" s="7">
        <f>VLOOKUP(TB_Vendas[[#This Row],[Código]],Produtos!$B$6:$G$66,6,0)</f>
        <v>289.89999999999998</v>
      </c>
      <c r="G67" s="1">
        <f>_xlfn.XMATCH(TB_Vendas[[#This Row],[Categoria]],Desc_Categorias,0)</f>
        <v>3</v>
      </c>
      <c r="H67" s="43">
        <f>VLOOKUP(TB_Vendas[[#This Row],[Qtd]],Desc_TabelaToda,TB_Vendas[[#This Row],[Indice]],TRUE)</f>
        <v>0.25</v>
      </c>
      <c r="I67" s="43" cm="1">
        <f t="array" ref="I67">INDEX(Desc_TabelaToda,MATCH(TB_Vendas[[#This Row],[Qtd]],Desc_Quantidades,1),MATCH(_xlfn.XLOOKUP(TB_Vendas[[#This Row],[Código]],TB_Produtos[[#All],[Código]],TB_Produtos[[#All],[Categoria]]),Desc_Categorias,0))</f>
        <v>0.25</v>
      </c>
      <c r="J67" s="43">
        <f>_xlfn.XLOOKUP(TB_Vendas[[#This Row],[Vendedor]],Vendedores!$A$5:$A$9,Vendedores!$D$5:$D$9)</f>
        <v>0.2</v>
      </c>
      <c r="K67" s="43">
        <f>IF(TB_Vendas[[#This Row],[Desconto 
(Diretão)]]&lt;=TB_Vendas[[#This Row],[Desconto 
(Vendedor)]],TB_Vendas[[#This Row],[Desconto 
(Diretão)]],TB_Vendas[[#This Row],[Desconto 
(Vendedor)]])</f>
        <v>0.2</v>
      </c>
      <c r="L67" s="2">
        <f>TB_Vendas[[#This Row],[Preço Unitário]]*TB_Vendas[[#This Row],[Qtd]]</f>
        <v>2319.1999999999998</v>
      </c>
      <c r="M67" s="1" t="s">
        <v>113</v>
      </c>
    </row>
    <row r="68" spans="1:13">
      <c r="A68" s="1">
        <f>MONTH(TB_Vendas[[#This Row],[Data]])</f>
        <v>7</v>
      </c>
      <c r="B68" s="3">
        <v>45119</v>
      </c>
      <c r="C68" s="4" t="s">
        <v>84</v>
      </c>
      <c r="D68" s="4" t="str">
        <f>_xlfn.XLOOKUP(TB_Vendas[[#This Row],[Código]],TB_Produtos[Código],TB_Produtos[Categoria])</f>
        <v>Vestuário</v>
      </c>
      <c r="E68" s="1">
        <v>2</v>
      </c>
      <c r="F68" s="7">
        <f>VLOOKUP(TB_Vendas[[#This Row],[Código]],Produtos!$B$6:$G$66,6,0)</f>
        <v>54.9</v>
      </c>
      <c r="G68" s="1">
        <f>_xlfn.XMATCH(TB_Vendas[[#This Row],[Categoria]],Desc_Categorias,0)</f>
        <v>3</v>
      </c>
      <c r="H68" s="43">
        <f>VLOOKUP(TB_Vendas[[#This Row],[Qtd]],Desc_TabelaToda,TB_Vendas[[#This Row],[Indice]],TRUE)</f>
        <v>0.15</v>
      </c>
      <c r="I68" s="43" cm="1">
        <f t="array" ref="I68">INDEX(Desc_TabelaToda,MATCH(TB_Vendas[[#This Row],[Qtd]],Desc_Quantidades,1),MATCH(_xlfn.XLOOKUP(TB_Vendas[[#This Row],[Código]],TB_Produtos[[#All],[Código]],TB_Produtos[[#All],[Categoria]]),Desc_Categorias,0))</f>
        <v>0.15</v>
      </c>
      <c r="J68" s="43">
        <f>_xlfn.XLOOKUP(TB_Vendas[[#This Row],[Vendedor]],Vendedores!$A$5:$A$9,Vendedores!$D$5:$D$9)</f>
        <v>0.2</v>
      </c>
      <c r="K68" s="43">
        <f>IF(TB_Vendas[[#This Row],[Desconto 
(Diretão)]]&lt;=TB_Vendas[[#This Row],[Desconto 
(Vendedor)]],TB_Vendas[[#This Row],[Desconto 
(Diretão)]],TB_Vendas[[#This Row],[Desconto 
(Vendedor)]])</f>
        <v>0.15</v>
      </c>
      <c r="L68" s="2">
        <f>TB_Vendas[[#This Row],[Preço Unitário]]*TB_Vendas[[#This Row],[Qtd]]</f>
        <v>109.8</v>
      </c>
      <c r="M68" s="1" t="s">
        <v>113</v>
      </c>
    </row>
    <row r="69" spans="1:13">
      <c r="A69" s="1">
        <f>MONTH(TB_Vendas[[#This Row],[Data]])</f>
        <v>7</v>
      </c>
      <c r="B69" s="3">
        <v>45120</v>
      </c>
      <c r="C69" s="4" t="s">
        <v>44</v>
      </c>
      <c r="D69" s="4" t="str">
        <f>_xlfn.XLOOKUP(TB_Vendas[[#This Row],[Código]],TB_Produtos[Código],TB_Produtos[Categoria])</f>
        <v>Vestuário</v>
      </c>
      <c r="E69" s="1">
        <v>2</v>
      </c>
      <c r="F69" s="7">
        <f>VLOOKUP(TB_Vendas[[#This Row],[Código]],Produtos!$B$6:$G$66,6,0)</f>
        <v>39.9</v>
      </c>
      <c r="G69" s="1">
        <f>_xlfn.XMATCH(TB_Vendas[[#This Row],[Categoria]],Desc_Categorias,0)</f>
        <v>3</v>
      </c>
      <c r="H69" s="43">
        <f>VLOOKUP(TB_Vendas[[#This Row],[Qtd]],Desc_TabelaToda,TB_Vendas[[#This Row],[Indice]],TRUE)</f>
        <v>0.15</v>
      </c>
      <c r="I69" s="43" cm="1">
        <f t="array" ref="I69">INDEX(Desc_TabelaToda,MATCH(TB_Vendas[[#This Row],[Qtd]],Desc_Quantidades,1),MATCH(_xlfn.XLOOKUP(TB_Vendas[[#This Row],[Código]],TB_Produtos[[#All],[Código]],TB_Produtos[[#All],[Categoria]]),Desc_Categorias,0))</f>
        <v>0.15</v>
      </c>
      <c r="J69" s="43">
        <f>_xlfn.XLOOKUP(TB_Vendas[[#This Row],[Vendedor]],Vendedores!$A$5:$A$9,Vendedores!$D$5:$D$9)</f>
        <v>0.15</v>
      </c>
      <c r="K69" s="43">
        <f>IF(TB_Vendas[[#This Row],[Desconto 
(Diretão)]]&lt;=TB_Vendas[[#This Row],[Desconto 
(Vendedor)]],TB_Vendas[[#This Row],[Desconto 
(Diretão)]],TB_Vendas[[#This Row],[Desconto 
(Vendedor)]])</f>
        <v>0.15</v>
      </c>
      <c r="L69" s="2">
        <f>TB_Vendas[[#This Row],[Preço Unitário]]*TB_Vendas[[#This Row],[Qtd]]</f>
        <v>79.8</v>
      </c>
      <c r="M69" s="1" t="s">
        <v>117</v>
      </c>
    </row>
    <row r="70" spans="1:13">
      <c r="A70" s="1">
        <f>MONTH(TB_Vendas[[#This Row],[Data]])</f>
        <v>7</v>
      </c>
      <c r="B70" s="3">
        <v>45124</v>
      </c>
      <c r="C70" s="4" t="s">
        <v>85</v>
      </c>
      <c r="D70" s="4" t="str">
        <f>_xlfn.XLOOKUP(TB_Vendas[[#This Row],[Código]],TB_Produtos[Código],TB_Produtos[Categoria])</f>
        <v>Vestuário</v>
      </c>
      <c r="E70" s="1">
        <v>7</v>
      </c>
      <c r="F70" s="7">
        <f>VLOOKUP(TB_Vendas[[#This Row],[Código]],Produtos!$B$6:$G$66,6,0)</f>
        <v>54.9</v>
      </c>
      <c r="G70" s="1">
        <f>_xlfn.XMATCH(TB_Vendas[[#This Row],[Categoria]],Desc_Categorias,0)</f>
        <v>3</v>
      </c>
      <c r="H70" s="43">
        <f>VLOOKUP(TB_Vendas[[#This Row],[Qtd]],Desc_TabelaToda,TB_Vendas[[#This Row],[Indice]],TRUE)</f>
        <v>0.25</v>
      </c>
      <c r="I70" s="43" cm="1">
        <f t="array" ref="I70">INDEX(Desc_TabelaToda,MATCH(TB_Vendas[[#This Row],[Qtd]],Desc_Quantidades,1),MATCH(_xlfn.XLOOKUP(TB_Vendas[[#This Row],[Código]],TB_Produtos[[#All],[Código]],TB_Produtos[[#All],[Categoria]]),Desc_Categorias,0))</f>
        <v>0.25</v>
      </c>
      <c r="J70" s="43">
        <f>_xlfn.XLOOKUP(TB_Vendas[[#This Row],[Vendedor]],Vendedores!$A$5:$A$9,Vendedores!$D$5:$D$9)</f>
        <v>0.2</v>
      </c>
      <c r="K70" s="43">
        <f>IF(TB_Vendas[[#This Row],[Desconto 
(Diretão)]]&lt;=TB_Vendas[[#This Row],[Desconto 
(Vendedor)]],TB_Vendas[[#This Row],[Desconto 
(Diretão)]],TB_Vendas[[#This Row],[Desconto 
(Vendedor)]])</f>
        <v>0.2</v>
      </c>
      <c r="L70" s="2">
        <f>TB_Vendas[[#This Row],[Preço Unitário]]*TB_Vendas[[#This Row],[Qtd]]</f>
        <v>384.3</v>
      </c>
      <c r="M70" s="1" t="s">
        <v>116</v>
      </c>
    </row>
    <row r="71" spans="1:13">
      <c r="A71" s="1">
        <f>MONTH(TB_Vendas[[#This Row],[Data]])</f>
        <v>7</v>
      </c>
      <c r="B71" s="3">
        <v>45130</v>
      </c>
      <c r="C71" s="4" t="s">
        <v>50</v>
      </c>
      <c r="D71" s="4" t="str">
        <f>_xlfn.XLOOKUP(TB_Vendas[[#This Row],[Código]],TB_Produtos[Código],TB_Produtos[Categoria])</f>
        <v>Vestuário</v>
      </c>
      <c r="E71" s="1">
        <v>4</v>
      </c>
      <c r="F71" s="7">
        <f>VLOOKUP(TB_Vendas[[#This Row],[Código]],Produtos!$B$6:$G$66,6,0)</f>
        <v>299.89999999999998</v>
      </c>
      <c r="G71" s="1">
        <f>_xlfn.XMATCH(TB_Vendas[[#This Row],[Categoria]],Desc_Categorias,0)</f>
        <v>3</v>
      </c>
      <c r="H71" s="43">
        <f>VLOOKUP(TB_Vendas[[#This Row],[Qtd]],Desc_TabelaToda,TB_Vendas[[#This Row],[Indice]],TRUE)</f>
        <v>0.2</v>
      </c>
      <c r="I71" s="43" cm="1">
        <f t="array" ref="I71">INDEX(Desc_TabelaToda,MATCH(TB_Vendas[[#This Row],[Qtd]],Desc_Quantidades,1),MATCH(_xlfn.XLOOKUP(TB_Vendas[[#This Row],[Código]],TB_Produtos[[#All],[Código]],TB_Produtos[[#All],[Categoria]]),Desc_Categorias,0))</f>
        <v>0.2</v>
      </c>
      <c r="J71" s="43">
        <f>_xlfn.XLOOKUP(TB_Vendas[[#This Row],[Vendedor]],Vendedores!$A$5:$A$9,Vendedores!$D$5:$D$9)</f>
        <v>0.15</v>
      </c>
      <c r="K71" s="43">
        <f>IF(TB_Vendas[[#This Row],[Desconto 
(Diretão)]]&lt;=TB_Vendas[[#This Row],[Desconto 
(Vendedor)]],TB_Vendas[[#This Row],[Desconto 
(Diretão)]],TB_Vendas[[#This Row],[Desconto 
(Vendedor)]])</f>
        <v>0.15</v>
      </c>
      <c r="L71" s="2">
        <f>TB_Vendas[[#This Row],[Preço Unitário]]*TB_Vendas[[#This Row],[Qtd]]</f>
        <v>1199.5999999999999</v>
      </c>
      <c r="M71" s="1" t="s">
        <v>117</v>
      </c>
    </row>
    <row r="72" spans="1:13">
      <c r="A72" s="1">
        <f>MONTH(TB_Vendas[[#This Row],[Data]])</f>
        <v>7</v>
      </c>
      <c r="B72" s="3">
        <v>45133</v>
      </c>
      <c r="C72" s="4" t="s">
        <v>54</v>
      </c>
      <c r="D72" s="4" t="str">
        <f>_xlfn.XLOOKUP(TB_Vendas[[#This Row],[Código]],TB_Produtos[Código],TB_Produtos[Categoria])</f>
        <v>Vestuário</v>
      </c>
      <c r="E72" s="1">
        <v>3</v>
      </c>
      <c r="F72" s="7">
        <f>VLOOKUP(TB_Vendas[[#This Row],[Código]],Produtos!$B$6:$G$66,6,0)</f>
        <v>259.89999999999998</v>
      </c>
      <c r="G72" s="1">
        <f>_xlfn.XMATCH(TB_Vendas[[#This Row],[Categoria]],Desc_Categorias,0)</f>
        <v>3</v>
      </c>
      <c r="H72" s="43">
        <f>VLOOKUP(TB_Vendas[[#This Row],[Qtd]],Desc_TabelaToda,TB_Vendas[[#This Row],[Indice]],TRUE)</f>
        <v>0.2</v>
      </c>
      <c r="I72" s="43" cm="1">
        <f t="array" ref="I72">INDEX(Desc_TabelaToda,MATCH(TB_Vendas[[#This Row],[Qtd]],Desc_Quantidades,1),MATCH(_xlfn.XLOOKUP(TB_Vendas[[#This Row],[Código]],TB_Produtos[[#All],[Código]],TB_Produtos[[#All],[Categoria]]),Desc_Categorias,0))</f>
        <v>0.2</v>
      </c>
      <c r="J72" s="43">
        <f>_xlfn.XLOOKUP(TB_Vendas[[#This Row],[Vendedor]],Vendedores!$A$5:$A$9,Vendedores!$D$5:$D$9)</f>
        <v>0.2</v>
      </c>
      <c r="K72" s="43">
        <f>IF(TB_Vendas[[#This Row],[Desconto 
(Diretão)]]&lt;=TB_Vendas[[#This Row],[Desconto 
(Vendedor)]],TB_Vendas[[#This Row],[Desconto 
(Diretão)]],TB_Vendas[[#This Row],[Desconto 
(Vendedor)]])</f>
        <v>0.2</v>
      </c>
      <c r="L72" s="2">
        <f>TB_Vendas[[#This Row],[Preço Unitário]]*TB_Vendas[[#This Row],[Qtd]]</f>
        <v>779.69999999999993</v>
      </c>
      <c r="M72" s="1" t="s">
        <v>116</v>
      </c>
    </row>
    <row r="73" spans="1:13">
      <c r="A73" s="1">
        <f>MONTH(TB_Vendas[[#This Row],[Data]])</f>
        <v>7</v>
      </c>
      <c r="B73" s="3">
        <v>45135</v>
      </c>
      <c r="C73" s="4" t="s">
        <v>88</v>
      </c>
      <c r="D73" s="4" t="str">
        <f>_xlfn.XLOOKUP(TB_Vendas[[#This Row],[Código]],TB_Produtos[Código],TB_Produtos[Categoria])</f>
        <v>Vestuário</v>
      </c>
      <c r="E73" s="1">
        <v>9</v>
      </c>
      <c r="F73" s="7">
        <f>VLOOKUP(TB_Vendas[[#This Row],[Código]],Produtos!$B$6:$G$66,6,0)</f>
        <v>72.5</v>
      </c>
      <c r="G73" s="1">
        <f>_xlfn.XMATCH(TB_Vendas[[#This Row],[Categoria]],Desc_Categorias,0)</f>
        <v>3</v>
      </c>
      <c r="H73" s="43">
        <f>VLOOKUP(TB_Vendas[[#This Row],[Qtd]],Desc_TabelaToda,TB_Vendas[[#This Row],[Indice]],TRUE)</f>
        <v>0.25</v>
      </c>
      <c r="I73" s="43" cm="1">
        <f t="array" ref="I73">INDEX(Desc_TabelaToda,MATCH(TB_Vendas[[#This Row],[Qtd]],Desc_Quantidades,1),MATCH(_xlfn.XLOOKUP(TB_Vendas[[#This Row],[Código]],TB_Produtos[[#All],[Código]],TB_Produtos[[#All],[Categoria]]),Desc_Categorias,0))</f>
        <v>0.25</v>
      </c>
      <c r="J73" s="43">
        <f>_xlfn.XLOOKUP(TB_Vendas[[#This Row],[Vendedor]],Vendedores!$A$5:$A$9,Vendedores!$D$5:$D$9)</f>
        <v>0.1</v>
      </c>
      <c r="K73" s="43">
        <f>IF(TB_Vendas[[#This Row],[Desconto 
(Diretão)]]&lt;=TB_Vendas[[#This Row],[Desconto 
(Vendedor)]],TB_Vendas[[#This Row],[Desconto 
(Diretão)]],TB_Vendas[[#This Row],[Desconto 
(Vendedor)]])</f>
        <v>0.1</v>
      </c>
      <c r="L73" s="2">
        <f>TB_Vendas[[#This Row],[Preço Unitário]]*TB_Vendas[[#This Row],[Qtd]]</f>
        <v>652.5</v>
      </c>
      <c r="M73" s="1" t="s">
        <v>115</v>
      </c>
    </row>
    <row r="74" spans="1:13">
      <c r="A74" s="1">
        <f>MONTH(TB_Vendas[[#This Row],[Data]])</f>
        <v>7</v>
      </c>
      <c r="B74" s="3">
        <v>45136</v>
      </c>
      <c r="C74" s="4" t="s">
        <v>52</v>
      </c>
      <c r="D74" s="4" t="str">
        <f>_xlfn.XLOOKUP(TB_Vendas[[#This Row],[Código]],TB_Produtos[Código],TB_Produtos[Categoria])</f>
        <v>Vestuário</v>
      </c>
      <c r="E74" s="1">
        <v>4</v>
      </c>
      <c r="F74" s="7">
        <f>VLOOKUP(TB_Vendas[[#This Row],[Código]],Produtos!$B$6:$G$66,6,0)</f>
        <v>300</v>
      </c>
      <c r="G74" s="1">
        <f>_xlfn.XMATCH(TB_Vendas[[#This Row],[Categoria]],Desc_Categorias,0)</f>
        <v>3</v>
      </c>
      <c r="H74" s="43">
        <f>VLOOKUP(TB_Vendas[[#This Row],[Qtd]],Desc_TabelaToda,TB_Vendas[[#This Row],[Indice]],TRUE)</f>
        <v>0.2</v>
      </c>
      <c r="I74" s="43" cm="1">
        <f t="array" ref="I74">INDEX(Desc_TabelaToda,MATCH(TB_Vendas[[#This Row],[Qtd]],Desc_Quantidades,1),MATCH(_xlfn.XLOOKUP(TB_Vendas[[#This Row],[Código]],TB_Produtos[[#All],[Código]],TB_Produtos[[#All],[Categoria]]),Desc_Categorias,0))</f>
        <v>0.2</v>
      </c>
      <c r="J74" s="43">
        <f>_xlfn.XLOOKUP(TB_Vendas[[#This Row],[Vendedor]],Vendedores!$A$5:$A$9,Vendedores!$D$5:$D$9)</f>
        <v>0.15</v>
      </c>
      <c r="K74" s="43">
        <f>IF(TB_Vendas[[#This Row],[Desconto 
(Diretão)]]&lt;=TB_Vendas[[#This Row],[Desconto 
(Vendedor)]],TB_Vendas[[#This Row],[Desconto 
(Diretão)]],TB_Vendas[[#This Row],[Desconto 
(Vendedor)]])</f>
        <v>0.15</v>
      </c>
      <c r="L74" s="2">
        <f>TB_Vendas[[#This Row],[Preço Unitário]]*TB_Vendas[[#This Row],[Qtd]]</f>
        <v>1200</v>
      </c>
      <c r="M74" s="1" t="s">
        <v>117</v>
      </c>
    </row>
    <row r="75" spans="1:13">
      <c r="A75" s="1">
        <f>MONTH(TB_Vendas[[#This Row],[Data]])</f>
        <v>7</v>
      </c>
      <c r="B75" s="3">
        <v>45137</v>
      </c>
      <c r="C75" s="4" t="s">
        <v>31</v>
      </c>
      <c r="D75" s="4" t="str">
        <f>_xlfn.XLOOKUP(TB_Vendas[[#This Row],[Código]],TB_Produtos[Código],TB_Produtos[Categoria])</f>
        <v>Vestuário</v>
      </c>
      <c r="E75" s="1">
        <v>9</v>
      </c>
      <c r="F75" s="7">
        <f>VLOOKUP(TB_Vendas[[#This Row],[Código]],Produtos!$B$6:$G$66,6,0)</f>
        <v>65.900000000000006</v>
      </c>
      <c r="G75" s="1">
        <f>_xlfn.XMATCH(TB_Vendas[[#This Row],[Categoria]],Desc_Categorias,0)</f>
        <v>3</v>
      </c>
      <c r="H75" s="43">
        <f>VLOOKUP(TB_Vendas[[#This Row],[Qtd]],Desc_TabelaToda,TB_Vendas[[#This Row],[Indice]],TRUE)</f>
        <v>0.25</v>
      </c>
      <c r="I75" s="43" cm="1">
        <f t="array" ref="I75">INDEX(Desc_TabelaToda,MATCH(TB_Vendas[[#This Row],[Qtd]],Desc_Quantidades,1),MATCH(_xlfn.XLOOKUP(TB_Vendas[[#This Row],[Código]],TB_Produtos[[#All],[Código]],TB_Produtos[[#All],[Categoria]]),Desc_Categorias,0))</f>
        <v>0.25</v>
      </c>
      <c r="J75" s="43">
        <f>_xlfn.XLOOKUP(TB_Vendas[[#This Row],[Vendedor]],Vendedores!$A$5:$A$9,Vendedores!$D$5:$D$9)</f>
        <v>0.15</v>
      </c>
      <c r="K75" s="43">
        <f>IF(TB_Vendas[[#This Row],[Desconto 
(Diretão)]]&lt;=TB_Vendas[[#This Row],[Desconto 
(Vendedor)]],TB_Vendas[[#This Row],[Desconto 
(Diretão)]],TB_Vendas[[#This Row],[Desconto 
(Vendedor)]])</f>
        <v>0.15</v>
      </c>
      <c r="L75" s="2">
        <f>TB_Vendas[[#This Row],[Preço Unitário]]*TB_Vendas[[#This Row],[Qtd]]</f>
        <v>593.1</v>
      </c>
      <c r="M75" s="1" t="s">
        <v>117</v>
      </c>
    </row>
    <row r="76" spans="1:13">
      <c r="A76" s="1">
        <f>MONTH(TB_Vendas[[#This Row],[Data]])</f>
        <v>8</v>
      </c>
      <c r="B76" s="3">
        <v>45143</v>
      </c>
      <c r="C76" s="4" t="s">
        <v>39</v>
      </c>
      <c r="D76" s="4" t="str">
        <f>_xlfn.XLOOKUP(TB_Vendas[[#This Row],[Código]],TB_Produtos[Código],TB_Produtos[Categoria])</f>
        <v>Vestuário</v>
      </c>
      <c r="E76" s="1">
        <v>10</v>
      </c>
      <c r="F76" s="7">
        <f>VLOOKUP(TB_Vendas[[#This Row],[Código]],Produtos!$B$6:$G$66,6,0)</f>
        <v>92.9</v>
      </c>
      <c r="G76" s="1">
        <f>_xlfn.XMATCH(TB_Vendas[[#This Row],[Categoria]],Desc_Categorias,0)</f>
        <v>3</v>
      </c>
      <c r="H76" s="43">
        <f>VLOOKUP(TB_Vendas[[#This Row],[Qtd]],Desc_TabelaToda,TB_Vendas[[#This Row],[Indice]],TRUE)</f>
        <v>0.3</v>
      </c>
      <c r="I76" s="43" cm="1">
        <f t="array" ref="I76">INDEX(Desc_TabelaToda,MATCH(TB_Vendas[[#This Row],[Qtd]],Desc_Quantidades,1),MATCH(_xlfn.XLOOKUP(TB_Vendas[[#This Row],[Código]],TB_Produtos[[#All],[Código]],TB_Produtos[[#All],[Categoria]]),Desc_Categorias,0))</f>
        <v>0.3</v>
      </c>
      <c r="J76" s="43">
        <f>_xlfn.XLOOKUP(TB_Vendas[[#This Row],[Vendedor]],Vendedores!$A$5:$A$9,Vendedores!$D$5:$D$9)</f>
        <v>0.15</v>
      </c>
      <c r="K76" s="43">
        <f>IF(TB_Vendas[[#This Row],[Desconto 
(Diretão)]]&lt;=TB_Vendas[[#This Row],[Desconto 
(Vendedor)]],TB_Vendas[[#This Row],[Desconto 
(Diretão)]],TB_Vendas[[#This Row],[Desconto 
(Vendedor)]])</f>
        <v>0.15</v>
      </c>
      <c r="L76" s="2">
        <f>TB_Vendas[[#This Row],[Preço Unitário]]*TB_Vendas[[#This Row],[Qtd]]</f>
        <v>929</v>
      </c>
      <c r="M76" s="1" t="s">
        <v>117</v>
      </c>
    </row>
    <row r="77" spans="1:13">
      <c r="A77" s="1">
        <f>MONTH(TB_Vendas[[#This Row],[Data]])</f>
        <v>8</v>
      </c>
      <c r="B77" s="3">
        <v>45144</v>
      </c>
      <c r="C77" s="4" t="s">
        <v>105</v>
      </c>
      <c r="D77" s="4" t="str">
        <f>_xlfn.XLOOKUP(TB_Vendas[[#This Row],[Código]],TB_Produtos[Código],TB_Produtos[Categoria])</f>
        <v>Calçado</v>
      </c>
      <c r="E77" s="1">
        <v>1</v>
      </c>
      <c r="F77" s="7">
        <f>VLOOKUP(TB_Vendas[[#This Row],[Código]],Produtos!$B$6:$G$66,6,0)</f>
        <v>89.9</v>
      </c>
      <c r="G77" s="1">
        <f>_xlfn.XMATCH(TB_Vendas[[#This Row],[Categoria]],Desc_Categorias,0)</f>
        <v>4</v>
      </c>
      <c r="H77" s="43">
        <f>VLOOKUP(TB_Vendas[[#This Row],[Qtd]],Desc_TabelaToda,TB_Vendas[[#This Row],[Indice]],TRUE)</f>
        <v>0</v>
      </c>
      <c r="I77" s="43" cm="1">
        <f t="array" ref="I77">INDEX(Desc_TabelaToda,MATCH(TB_Vendas[[#This Row],[Qtd]],Desc_Quantidades,1),MATCH(_xlfn.XLOOKUP(TB_Vendas[[#This Row],[Código]],TB_Produtos[[#All],[Código]],TB_Produtos[[#All],[Categoria]]),Desc_Categorias,0))</f>
        <v>0</v>
      </c>
      <c r="J77" s="43">
        <f>_xlfn.XLOOKUP(TB_Vendas[[#This Row],[Vendedor]],Vendedores!$A$5:$A$9,Vendedores!$D$5:$D$9)</f>
        <v>0.1</v>
      </c>
      <c r="K77" s="43">
        <f>IF(TB_Vendas[[#This Row],[Desconto 
(Diretão)]]&lt;=TB_Vendas[[#This Row],[Desconto 
(Vendedor)]],TB_Vendas[[#This Row],[Desconto 
(Diretão)]],TB_Vendas[[#This Row],[Desconto 
(Vendedor)]])</f>
        <v>0</v>
      </c>
      <c r="L77" s="2">
        <f>TB_Vendas[[#This Row],[Preço Unitário]]*TB_Vendas[[#This Row],[Qtd]]</f>
        <v>89.9</v>
      </c>
      <c r="M77" s="1" t="s">
        <v>115</v>
      </c>
    </row>
    <row r="78" spans="1:13">
      <c r="A78" s="1">
        <f>MONTH(TB_Vendas[[#This Row],[Data]])</f>
        <v>8</v>
      </c>
      <c r="B78" s="3">
        <v>45145</v>
      </c>
      <c r="C78" s="4" t="s">
        <v>98</v>
      </c>
      <c r="D78" s="4" t="str">
        <f>_xlfn.XLOOKUP(TB_Vendas[[#This Row],[Código]],TB_Produtos[Código],TB_Produtos[Categoria])</f>
        <v>Vestuário</v>
      </c>
      <c r="E78" s="1">
        <v>2</v>
      </c>
      <c r="F78" s="7">
        <f>VLOOKUP(TB_Vendas[[#This Row],[Código]],Produtos!$B$6:$G$66,6,0)</f>
        <v>49.9</v>
      </c>
      <c r="G78" s="1">
        <f>_xlfn.XMATCH(TB_Vendas[[#This Row],[Categoria]],Desc_Categorias,0)</f>
        <v>3</v>
      </c>
      <c r="H78" s="43">
        <f>VLOOKUP(TB_Vendas[[#This Row],[Qtd]],Desc_TabelaToda,TB_Vendas[[#This Row],[Indice]],TRUE)</f>
        <v>0.15</v>
      </c>
      <c r="I78" s="43" cm="1">
        <f t="array" ref="I78">INDEX(Desc_TabelaToda,MATCH(TB_Vendas[[#This Row],[Qtd]],Desc_Quantidades,1),MATCH(_xlfn.XLOOKUP(TB_Vendas[[#This Row],[Código]],TB_Produtos[[#All],[Código]],TB_Produtos[[#All],[Categoria]]),Desc_Categorias,0))</f>
        <v>0.15</v>
      </c>
      <c r="J78" s="43">
        <f>_xlfn.XLOOKUP(TB_Vendas[[#This Row],[Vendedor]],Vendedores!$A$5:$A$9,Vendedores!$D$5:$D$9)</f>
        <v>0.1</v>
      </c>
      <c r="K78" s="43">
        <f>IF(TB_Vendas[[#This Row],[Desconto 
(Diretão)]]&lt;=TB_Vendas[[#This Row],[Desconto 
(Vendedor)]],TB_Vendas[[#This Row],[Desconto 
(Diretão)]],TB_Vendas[[#This Row],[Desconto 
(Vendedor)]])</f>
        <v>0.1</v>
      </c>
      <c r="L78" s="2">
        <f>TB_Vendas[[#This Row],[Preço Unitário]]*TB_Vendas[[#This Row],[Qtd]]</f>
        <v>99.8</v>
      </c>
      <c r="M78" s="1" t="s">
        <v>115</v>
      </c>
    </row>
    <row r="79" spans="1:13">
      <c r="A79" s="1">
        <f>MONTH(TB_Vendas[[#This Row],[Data]])</f>
        <v>8</v>
      </c>
      <c r="B79" s="3">
        <v>45146</v>
      </c>
      <c r="C79" s="4" t="s">
        <v>83</v>
      </c>
      <c r="D79" s="4" t="str">
        <f>_xlfn.XLOOKUP(TB_Vendas[[#This Row],[Código]],TB_Produtos[Código],TB_Produtos[Categoria])</f>
        <v>Vestuário</v>
      </c>
      <c r="E79" s="1">
        <v>8</v>
      </c>
      <c r="F79" s="7">
        <f>VLOOKUP(TB_Vendas[[#This Row],[Código]],Produtos!$B$6:$G$66,6,0)</f>
        <v>70</v>
      </c>
      <c r="G79" s="1">
        <f>_xlfn.XMATCH(TB_Vendas[[#This Row],[Categoria]],Desc_Categorias,0)</f>
        <v>3</v>
      </c>
      <c r="H79" s="43">
        <f>VLOOKUP(TB_Vendas[[#This Row],[Qtd]],Desc_TabelaToda,TB_Vendas[[#This Row],[Indice]],TRUE)</f>
        <v>0.25</v>
      </c>
      <c r="I79" s="43" cm="1">
        <f t="array" ref="I79">INDEX(Desc_TabelaToda,MATCH(TB_Vendas[[#This Row],[Qtd]],Desc_Quantidades,1),MATCH(_xlfn.XLOOKUP(TB_Vendas[[#This Row],[Código]],TB_Produtos[[#All],[Código]],TB_Produtos[[#All],[Categoria]]),Desc_Categorias,0))</f>
        <v>0.25</v>
      </c>
      <c r="J79" s="43">
        <f>_xlfn.XLOOKUP(TB_Vendas[[#This Row],[Vendedor]],Vendedores!$A$5:$A$9,Vendedores!$D$5:$D$9)</f>
        <v>0.15</v>
      </c>
      <c r="K79" s="43">
        <f>IF(TB_Vendas[[#This Row],[Desconto 
(Diretão)]]&lt;=TB_Vendas[[#This Row],[Desconto 
(Vendedor)]],TB_Vendas[[#This Row],[Desconto 
(Diretão)]],TB_Vendas[[#This Row],[Desconto 
(Vendedor)]])</f>
        <v>0.15</v>
      </c>
      <c r="L79" s="2">
        <f>TB_Vendas[[#This Row],[Preço Unitário]]*TB_Vendas[[#This Row],[Qtd]]</f>
        <v>560</v>
      </c>
      <c r="M79" s="1" t="s">
        <v>114</v>
      </c>
    </row>
    <row r="80" spans="1:13">
      <c r="A80" s="1">
        <f>MONTH(TB_Vendas[[#This Row],[Data]])</f>
        <v>8</v>
      </c>
      <c r="B80" s="3">
        <v>45147</v>
      </c>
      <c r="C80" s="4" t="s">
        <v>41</v>
      </c>
      <c r="D80" s="4" t="str">
        <f>_xlfn.XLOOKUP(TB_Vendas[[#This Row],[Código]],TB_Produtos[Código],TB_Produtos[Categoria])</f>
        <v>Vestuário</v>
      </c>
      <c r="E80" s="1">
        <v>5</v>
      </c>
      <c r="F80" s="7">
        <f>VLOOKUP(TB_Vendas[[#This Row],[Código]],Produtos!$B$6:$G$66,6,0)</f>
        <v>46.9</v>
      </c>
      <c r="G80" s="1">
        <f>_xlfn.XMATCH(TB_Vendas[[#This Row],[Categoria]],Desc_Categorias,0)</f>
        <v>3</v>
      </c>
      <c r="H80" s="43">
        <f>VLOOKUP(TB_Vendas[[#This Row],[Qtd]],Desc_TabelaToda,TB_Vendas[[#This Row],[Indice]],TRUE)</f>
        <v>0.25</v>
      </c>
      <c r="I80" s="43" cm="1">
        <f t="array" ref="I80">INDEX(Desc_TabelaToda,MATCH(TB_Vendas[[#This Row],[Qtd]],Desc_Quantidades,1),MATCH(_xlfn.XLOOKUP(TB_Vendas[[#This Row],[Código]],TB_Produtos[[#All],[Código]],TB_Produtos[[#All],[Categoria]]),Desc_Categorias,0))</f>
        <v>0.25</v>
      </c>
      <c r="J80" s="43">
        <f>_xlfn.XLOOKUP(TB_Vendas[[#This Row],[Vendedor]],Vendedores!$A$5:$A$9,Vendedores!$D$5:$D$9)</f>
        <v>0.1</v>
      </c>
      <c r="K80" s="43">
        <f>IF(TB_Vendas[[#This Row],[Desconto 
(Diretão)]]&lt;=TB_Vendas[[#This Row],[Desconto 
(Vendedor)]],TB_Vendas[[#This Row],[Desconto 
(Diretão)]],TB_Vendas[[#This Row],[Desconto 
(Vendedor)]])</f>
        <v>0.1</v>
      </c>
      <c r="L80" s="2">
        <f>TB_Vendas[[#This Row],[Preço Unitário]]*TB_Vendas[[#This Row],[Qtd]]</f>
        <v>234.5</v>
      </c>
      <c r="M80" s="1" t="s">
        <v>115</v>
      </c>
    </row>
    <row r="81" spans="1:13">
      <c r="A81" s="1">
        <f>MONTH(TB_Vendas[[#This Row],[Data]])</f>
        <v>8</v>
      </c>
      <c r="B81" s="3">
        <v>45148</v>
      </c>
      <c r="C81" s="4" t="s">
        <v>92</v>
      </c>
      <c r="D81" s="4" t="str">
        <f>_xlfn.XLOOKUP(TB_Vendas[[#This Row],[Código]],TB_Produtos[Código],TB_Produtos[Categoria])</f>
        <v>Vestuário</v>
      </c>
      <c r="E81" s="1">
        <v>10</v>
      </c>
      <c r="F81" s="7">
        <f>VLOOKUP(TB_Vendas[[#This Row],[Código]],Produtos!$B$6:$G$66,6,0)</f>
        <v>289.89999999999998</v>
      </c>
      <c r="G81" s="1">
        <f>_xlfn.XMATCH(TB_Vendas[[#This Row],[Categoria]],Desc_Categorias,0)</f>
        <v>3</v>
      </c>
      <c r="H81" s="43">
        <f>VLOOKUP(TB_Vendas[[#This Row],[Qtd]],Desc_TabelaToda,TB_Vendas[[#This Row],[Indice]],TRUE)</f>
        <v>0.3</v>
      </c>
      <c r="I81" s="43" cm="1">
        <f t="array" ref="I81">INDEX(Desc_TabelaToda,MATCH(TB_Vendas[[#This Row],[Qtd]],Desc_Quantidades,1),MATCH(_xlfn.XLOOKUP(TB_Vendas[[#This Row],[Código]],TB_Produtos[[#All],[Código]],TB_Produtos[[#All],[Categoria]]),Desc_Categorias,0))</f>
        <v>0.3</v>
      </c>
      <c r="J81" s="43">
        <f>_xlfn.XLOOKUP(TB_Vendas[[#This Row],[Vendedor]],Vendedores!$A$5:$A$9,Vendedores!$D$5:$D$9)</f>
        <v>0.15</v>
      </c>
      <c r="K81" s="43">
        <f>IF(TB_Vendas[[#This Row],[Desconto 
(Diretão)]]&lt;=TB_Vendas[[#This Row],[Desconto 
(Vendedor)]],TB_Vendas[[#This Row],[Desconto 
(Diretão)]],TB_Vendas[[#This Row],[Desconto 
(Vendedor)]])</f>
        <v>0.15</v>
      </c>
      <c r="L81" s="2">
        <f>TB_Vendas[[#This Row],[Preço Unitário]]*TB_Vendas[[#This Row],[Qtd]]</f>
        <v>2899</v>
      </c>
      <c r="M81" s="1" t="s">
        <v>114</v>
      </c>
    </row>
    <row r="82" spans="1:13">
      <c r="A82" s="1">
        <f>MONTH(TB_Vendas[[#This Row],[Data]])</f>
        <v>8</v>
      </c>
      <c r="B82" s="3">
        <v>45149</v>
      </c>
      <c r="C82" s="4" t="s">
        <v>45</v>
      </c>
      <c r="D82" s="4" t="str">
        <f>_xlfn.XLOOKUP(TB_Vendas[[#This Row],[Código]],TB_Produtos[Código],TB_Produtos[Categoria])</f>
        <v>Vestuário</v>
      </c>
      <c r="E82" s="1">
        <v>1</v>
      </c>
      <c r="F82" s="7">
        <f>VLOOKUP(TB_Vendas[[#This Row],[Código]],Produtos!$B$6:$G$66,6,0)</f>
        <v>42.5</v>
      </c>
      <c r="G82" s="1">
        <f>_xlfn.XMATCH(TB_Vendas[[#This Row],[Categoria]],Desc_Categorias,0)</f>
        <v>3</v>
      </c>
      <c r="H82" s="43">
        <f>VLOOKUP(TB_Vendas[[#This Row],[Qtd]],Desc_TabelaToda,TB_Vendas[[#This Row],[Indice]],TRUE)</f>
        <v>0.1</v>
      </c>
      <c r="I82" s="43" cm="1">
        <f t="array" ref="I82">INDEX(Desc_TabelaToda,MATCH(TB_Vendas[[#This Row],[Qtd]],Desc_Quantidades,1),MATCH(_xlfn.XLOOKUP(TB_Vendas[[#This Row],[Código]],TB_Produtos[[#All],[Código]],TB_Produtos[[#All],[Categoria]]),Desc_Categorias,0))</f>
        <v>0.1</v>
      </c>
      <c r="J82" s="43">
        <f>_xlfn.XLOOKUP(TB_Vendas[[#This Row],[Vendedor]],Vendedores!$A$5:$A$9,Vendedores!$D$5:$D$9)</f>
        <v>0.1</v>
      </c>
      <c r="K82" s="43">
        <f>IF(TB_Vendas[[#This Row],[Desconto 
(Diretão)]]&lt;=TB_Vendas[[#This Row],[Desconto 
(Vendedor)]],TB_Vendas[[#This Row],[Desconto 
(Diretão)]],TB_Vendas[[#This Row],[Desconto 
(Vendedor)]])</f>
        <v>0.1</v>
      </c>
      <c r="L82" s="2">
        <f>TB_Vendas[[#This Row],[Preço Unitário]]*TB_Vendas[[#This Row],[Qtd]]</f>
        <v>42.5</v>
      </c>
      <c r="M82" s="1" t="s">
        <v>115</v>
      </c>
    </row>
    <row r="83" spans="1:13">
      <c r="A83" s="1">
        <f>MONTH(TB_Vendas[[#This Row],[Data]])</f>
        <v>8</v>
      </c>
      <c r="B83" s="3">
        <v>45150</v>
      </c>
      <c r="C83" s="4" t="s">
        <v>102</v>
      </c>
      <c r="D83" s="4" t="str">
        <f>_xlfn.XLOOKUP(TB_Vendas[[#This Row],[Código]],TB_Produtos[Código],TB_Produtos[Categoria])</f>
        <v>Calçado</v>
      </c>
      <c r="E83" s="1">
        <v>2</v>
      </c>
      <c r="F83" s="7">
        <f>VLOOKUP(TB_Vendas[[#This Row],[Código]],Produtos!$B$6:$G$66,6,0)</f>
        <v>89.9</v>
      </c>
      <c r="G83" s="1">
        <f>_xlfn.XMATCH(TB_Vendas[[#This Row],[Categoria]],Desc_Categorias,0)</f>
        <v>4</v>
      </c>
      <c r="H83" s="43">
        <f>VLOOKUP(TB_Vendas[[#This Row],[Qtd]],Desc_TabelaToda,TB_Vendas[[#This Row],[Indice]],TRUE)</f>
        <v>0.1</v>
      </c>
      <c r="I83" s="43" cm="1">
        <f t="array" ref="I83">INDEX(Desc_TabelaToda,MATCH(TB_Vendas[[#This Row],[Qtd]],Desc_Quantidades,1),MATCH(_xlfn.XLOOKUP(TB_Vendas[[#This Row],[Código]],TB_Produtos[[#All],[Código]],TB_Produtos[[#All],[Categoria]]),Desc_Categorias,0))</f>
        <v>0.1</v>
      </c>
      <c r="J83" s="43">
        <f>_xlfn.XLOOKUP(TB_Vendas[[#This Row],[Vendedor]],Vendedores!$A$5:$A$9,Vendedores!$D$5:$D$9)</f>
        <v>0.15</v>
      </c>
      <c r="K83" s="43">
        <f>IF(TB_Vendas[[#This Row],[Desconto 
(Diretão)]]&lt;=TB_Vendas[[#This Row],[Desconto 
(Vendedor)]],TB_Vendas[[#This Row],[Desconto 
(Diretão)]],TB_Vendas[[#This Row],[Desconto 
(Vendedor)]])</f>
        <v>0.1</v>
      </c>
      <c r="L83" s="2">
        <f>TB_Vendas[[#This Row],[Preço Unitário]]*TB_Vendas[[#This Row],[Qtd]]</f>
        <v>179.8</v>
      </c>
      <c r="M83" s="1" t="s">
        <v>114</v>
      </c>
    </row>
    <row r="84" spans="1:13">
      <c r="A84" s="1">
        <f>MONTH(TB_Vendas[[#This Row],[Data]])</f>
        <v>8</v>
      </c>
      <c r="B84" s="3">
        <v>45151</v>
      </c>
      <c r="C84" s="4" t="s">
        <v>59</v>
      </c>
      <c r="D84" s="4" t="str">
        <f>_xlfn.XLOOKUP(TB_Vendas[[#This Row],[Código]],TB_Produtos[Código],TB_Produtos[Categoria])</f>
        <v>Calçado</v>
      </c>
      <c r="E84" s="1">
        <v>3</v>
      </c>
      <c r="F84" s="7">
        <f>VLOOKUP(TB_Vendas[[#This Row],[Código]],Produtos!$B$6:$G$66,6,0)</f>
        <v>255</v>
      </c>
      <c r="G84" s="1">
        <f>_xlfn.XMATCH(TB_Vendas[[#This Row],[Categoria]],Desc_Categorias,0)</f>
        <v>4</v>
      </c>
      <c r="H84" s="43">
        <f>VLOOKUP(TB_Vendas[[#This Row],[Qtd]],Desc_TabelaToda,TB_Vendas[[#This Row],[Indice]],TRUE)</f>
        <v>0.15</v>
      </c>
      <c r="I84" s="43" cm="1">
        <f t="array" ref="I84">INDEX(Desc_TabelaToda,MATCH(TB_Vendas[[#This Row],[Qtd]],Desc_Quantidades,1),MATCH(_xlfn.XLOOKUP(TB_Vendas[[#This Row],[Código]],TB_Produtos[[#All],[Código]],TB_Produtos[[#All],[Categoria]]),Desc_Categorias,0))</f>
        <v>0.15</v>
      </c>
      <c r="J84" s="43">
        <f>_xlfn.XLOOKUP(TB_Vendas[[#This Row],[Vendedor]],Vendedores!$A$5:$A$9,Vendedores!$D$5:$D$9)</f>
        <v>0.2</v>
      </c>
      <c r="K84" s="43">
        <f>IF(TB_Vendas[[#This Row],[Desconto 
(Diretão)]]&lt;=TB_Vendas[[#This Row],[Desconto 
(Vendedor)]],TB_Vendas[[#This Row],[Desconto 
(Diretão)]],TB_Vendas[[#This Row],[Desconto 
(Vendedor)]])</f>
        <v>0.15</v>
      </c>
      <c r="L84" s="2">
        <f>TB_Vendas[[#This Row],[Preço Unitário]]*TB_Vendas[[#This Row],[Qtd]]</f>
        <v>765</v>
      </c>
      <c r="M84" s="1" t="s">
        <v>113</v>
      </c>
    </row>
    <row r="85" spans="1:13">
      <c r="A85" s="1">
        <f>MONTH(TB_Vendas[[#This Row],[Data]])</f>
        <v>8</v>
      </c>
      <c r="B85" s="3">
        <v>45152</v>
      </c>
      <c r="C85" s="4" t="s">
        <v>45</v>
      </c>
      <c r="D85" s="4" t="str">
        <f>_xlfn.XLOOKUP(TB_Vendas[[#This Row],[Código]],TB_Produtos[Código],TB_Produtos[Categoria])</f>
        <v>Vestuário</v>
      </c>
      <c r="E85" s="1">
        <v>6</v>
      </c>
      <c r="F85" s="7">
        <f>VLOOKUP(TB_Vendas[[#This Row],[Código]],Produtos!$B$6:$G$66,6,0)</f>
        <v>42.5</v>
      </c>
      <c r="G85" s="1">
        <f>_xlfn.XMATCH(TB_Vendas[[#This Row],[Categoria]],Desc_Categorias,0)</f>
        <v>3</v>
      </c>
      <c r="H85" s="43">
        <f>VLOOKUP(TB_Vendas[[#This Row],[Qtd]],Desc_TabelaToda,TB_Vendas[[#This Row],[Indice]],TRUE)</f>
        <v>0.25</v>
      </c>
      <c r="I85" s="43" cm="1">
        <f t="array" ref="I85">INDEX(Desc_TabelaToda,MATCH(TB_Vendas[[#This Row],[Qtd]],Desc_Quantidades,1),MATCH(_xlfn.XLOOKUP(TB_Vendas[[#This Row],[Código]],TB_Produtos[[#All],[Código]],TB_Produtos[[#All],[Categoria]]),Desc_Categorias,0))</f>
        <v>0.25</v>
      </c>
      <c r="J85" s="43">
        <f>_xlfn.XLOOKUP(TB_Vendas[[#This Row],[Vendedor]],Vendedores!$A$5:$A$9,Vendedores!$D$5:$D$9)</f>
        <v>0.2</v>
      </c>
      <c r="K85" s="43">
        <f>IF(TB_Vendas[[#This Row],[Desconto 
(Diretão)]]&lt;=TB_Vendas[[#This Row],[Desconto 
(Vendedor)]],TB_Vendas[[#This Row],[Desconto 
(Diretão)]],TB_Vendas[[#This Row],[Desconto 
(Vendedor)]])</f>
        <v>0.2</v>
      </c>
      <c r="L85" s="2">
        <f>TB_Vendas[[#This Row],[Preço Unitário]]*TB_Vendas[[#This Row],[Qtd]]</f>
        <v>255</v>
      </c>
      <c r="M85" s="1" t="s">
        <v>116</v>
      </c>
    </row>
    <row r="86" spans="1:13">
      <c r="A86" s="1">
        <f>MONTH(TB_Vendas[[#This Row],[Data]])</f>
        <v>8</v>
      </c>
      <c r="B86" s="3">
        <v>45153</v>
      </c>
      <c r="C86" s="4" t="s">
        <v>44</v>
      </c>
      <c r="D86" s="4" t="str">
        <f>_xlfn.XLOOKUP(TB_Vendas[[#This Row],[Código]],TB_Produtos[Código],TB_Produtos[Categoria])</f>
        <v>Vestuário</v>
      </c>
      <c r="E86" s="1">
        <v>8</v>
      </c>
      <c r="F86" s="7">
        <f>VLOOKUP(TB_Vendas[[#This Row],[Código]],Produtos!$B$6:$G$66,6,0)</f>
        <v>39.9</v>
      </c>
      <c r="G86" s="1">
        <f>_xlfn.XMATCH(TB_Vendas[[#This Row],[Categoria]],Desc_Categorias,0)</f>
        <v>3</v>
      </c>
      <c r="H86" s="43">
        <f>VLOOKUP(TB_Vendas[[#This Row],[Qtd]],Desc_TabelaToda,TB_Vendas[[#This Row],[Indice]],TRUE)</f>
        <v>0.25</v>
      </c>
      <c r="I86" s="43" cm="1">
        <f t="array" ref="I86">INDEX(Desc_TabelaToda,MATCH(TB_Vendas[[#This Row],[Qtd]],Desc_Quantidades,1),MATCH(_xlfn.XLOOKUP(TB_Vendas[[#This Row],[Código]],TB_Produtos[[#All],[Código]],TB_Produtos[[#All],[Categoria]]),Desc_Categorias,0))</f>
        <v>0.25</v>
      </c>
      <c r="J86" s="43">
        <f>_xlfn.XLOOKUP(TB_Vendas[[#This Row],[Vendedor]],Vendedores!$A$5:$A$9,Vendedores!$D$5:$D$9)</f>
        <v>0.15</v>
      </c>
      <c r="K86" s="43">
        <f>IF(TB_Vendas[[#This Row],[Desconto 
(Diretão)]]&lt;=TB_Vendas[[#This Row],[Desconto 
(Vendedor)]],TB_Vendas[[#This Row],[Desconto 
(Diretão)]],TB_Vendas[[#This Row],[Desconto 
(Vendedor)]])</f>
        <v>0.15</v>
      </c>
      <c r="L86" s="2">
        <f>TB_Vendas[[#This Row],[Preço Unitário]]*TB_Vendas[[#This Row],[Qtd]]</f>
        <v>319.2</v>
      </c>
      <c r="M86" s="1" t="s">
        <v>114</v>
      </c>
    </row>
  </sheetData>
  <phoneticPr fontId="11" type="noConversion"/>
  <conditionalFormatting sqref="E4:K4"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2EB1-9295-4FFE-BBDC-539FE1040BCA}">
  <dimension ref="A1:H253"/>
  <sheetViews>
    <sheetView workbookViewId="0">
      <selection activeCell="C1" sqref="C1"/>
    </sheetView>
  </sheetViews>
  <sheetFormatPr defaultRowHeight="15"/>
  <cols>
    <col min="1" max="1" width="10.5703125" bestFit="1" customWidth="1"/>
    <col min="2" max="2" width="9.140625" bestFit="1" customWidth="1"/>
    <col min="3" max="3" width="11.28515625" bestFit="1" customWidth="1"/>
    <col min="4" max="4" width="6.28515625" bestFit="1" customWidth="1"/>
    <col min="5" max="5" width="15.28515625" bestFit="1" customWidth="1"/>
    <col min="6" max="6" width="15.5703125" bestFit="1" customWidth="1"/>
    <col min="7" max="7" width="7.42578125" bestFit="1" customWidth="1"/>
    <col min="8" max="8" width="11.5703125" bestFit="1" customWidth="1"/>
  </cols>
  <sheetData>
    <row r="1" spans="1:8">
      <c r="A1" t="s">
        <v>74</v>
      </c>
      <c r="B1" t="s">
        <v>30</v>
      </c>
      <c r="C1" t="s">
        <v>10</v>
      </c>
      <c r="D1" t="s">
        <v>15</v>
      </c>
      <c r="E1" t="s">
        <v>11</v>
      </c>
      <c r="F1" t="s">
        <v>159</v>
      </c>
      <c r="G1" t="s">
        <v>16</v>
      </c>
      <c r="H1" t="s">
        <v>72</v>
      </c>
    </row>
    <row r="2" spans="1:8">
      <c r="A2" s="72">
        <v>44566</v>
      </c>
      <c r="B2" t="s">
        <v>61</v>
      </c>
      <c r="C2" t="s">
        <v>14</v>
      </c>
      <c r="D2">
        <v>2</v>
      </c>
      <c r="E2">
        <v>245</v>
      </c>
      <c r="F2">
        <v>0.1</v>
      </c>
      <c r="G2">
        <v>490</v>
      </c>
      <c r="H2" t="s">
        <v>116</v>
      </c>
    </row>
    <row r="3" spans="1:8">
      <c r="A3" s="72">
        <v>44567</v>
      </c>
      <c r="B3" t="s">
        <v>59</v>
      </c>
      <c r="C3" t="s">
        <v>14</v>
      </c>
      <c r="D3">
        <v>10</v>
      </c>
      <c r="E3">
        <v>255</v>
      </c>
      <c r="F3">
        <v>0.15</v>
      </c>
      <c r="G3">
        <v>2550</v>
      </c>
      <c r="H3" t="s">
        <v>117</v>
      </c>
    </row>
    <row r="4" spans="1:8">
      <c r="A4" s="72">
        <v>44568</v>
      </c>
      <c r="B4" t="s">
        <v>93</v>
      </c>
      <c r="C4" t="s">
        <v>12</v>
      </c>
      <c r="D4">
        <v>11</v>
      </c>
      <c r="E4">
        <v>289.89999999999998</v>
      </c>
      <c r="F4">
        <v>0.1</v>
      </c>
      <c r="G4">
        <v>3188.9</v>
      </c>
      <c r="H4" t="s">
        <v>115</v>
      </c>
    </row>
    <row r="5" spans="1:8">
      <c r="A5" s="72">
        <v>44573</v>
      </c>
      <c r="B5" t="s">
        <v>106</v>
      </c>
      <c r="C5" t="s">
        <v>12</v>
      </c>
      <c r="D5">
        <v>11</v>
      </c>
      <c r="E5">
        <v>180</v>
      </c>
      <c r="F5">
        <v>0.2</v>
      </c>
      <c r="G5">
        <v>1980</v>
      </c>
      <c r="H5" t="s">
        <v>113</v>
      </c>
    </row>
    <row r="6" spans="1:8">
      <c r="A6" s="72">
        <v>44574</v>
      </c>
      <c r="B6" t="s">
        <v>110</v>
      </c>
      <c r="C6" t="s">
        <v>12</v>
      </c>
      <c r="D6">
        <v>10</v>
      </c>
      <c r="E6">
        <v>180</v>
      </c>
      <c r="F6">
        <v>0.1</v>
      </c>
      <c r="G6">
        <v>1800</v>
      </c>
      <c r="H6" t="s">
        <v>115</v>
      </c>
    </row>
    <row r="7" spans="1:8">
      <c r="A7" s="72">
        <v>44578</v>
      </c>
      <c r="B7" t="s">
        <v>33</v>
      </c>
      <c r="C7" t="s">
        <v>12</v>
      </c>
      <c r="D7">
        <v>8</v>
      </c>
      <c r="E7">
        <v>70.900000000000006</v>
      </c>
      <c r="F7">
        <v>0.15</v>
      </c>
      <c r="G7">
        <v>567.20000000000005</v>
      </c>
      <c r="H7" t="s">
        <v>114</v>
      </c>
    </row>
    <row r="8" spans="1:8">
      <c r="A8" s="72">
        <v>44584</v>
      </c>
      <c r="B8" t="s">
        <v>59</v>
      </c>
      <c r="C8" t="s">
        <v>14</v>
      </c>
      <c r="D8">
        <v>2</v>
      </c>
      <c r="E8">
        <v>255</v>
      </c>
      <c r="F8">
        <v>0.1</v>
      </c>
      <c r="G8">
        <v>510</v>
      </c>
      <c r="H8" t="s">
        <v>116</v>
      </c>
    </row>
    <row r="9" spans="1:8">
      <c r="A9" s="72">
        <v>44587</v>
      </c>
      <c r="B9" t="s">
        <v>88</v>
      </c>
      <c r="C9" t="s">
        <v>12</v>
      </c>
      <c r="D9">
        <v>2</v>
      </c>
      <c r="E9">
        <v>72.5</v>
      </c>
      <c r="F9">
        <v>0.15</v>
      </c>
      <c r="G9">
        <v>145</v>
      </c>
      <c r="H9" t="s">
        <v>117</v>
      </c>
    </row>
    <row r="10" spans="1:8">
      <c r="A10" s="72">
        <v>44589</v>
      </c>
      <c r="B10" t="s">
        <v>90</v>
      </c>
      <c r="C10" t="s">
        <v>12</v>
      </c>
      <c r="D10">
        <v>12</v>
      </c>
      <c r="E10">
        <v>289.89999999999998</v>
      </c>
      <c r="F10">
        <v>0.2</v>
      </c>
      <c r="G10">
        <v>3478.8</v>
      </c>
      <c r="H10" t="s">
        <v>116</v>
      </c>
    </row>
    <row r="11" spans="1:8">
      <c r="A11" s="72">
        <v>44590</v>
      </c>
      <c r="B11" t="s">
        <v>90</v>
      </c>
      <c r="C11" t="s">
        <v>12</v>
      </c>
      <c r="D11">
        <v>1</v>
      </c>
      <c r="E11">
        <v>289.89999999999998</v>
      </c>
      <c r="F11">
        <v>0.1</v>
      </c>
      <c r="G11">
        <v>289.89999999999998</v>
      </c>
      <c r="H11" t="s">
        <v>117</v>
      </c>
    </row>
    <row r="12" spans="1:8">
      <c r="A12" s="72">
        <v>44591</v>
      </c>
      <c r="B12" t="s">
        <v>109</v>
      </c>
      <c r="C12" t="s">
        <v>12</v>
      </c>
      <c r="D12">
        <v>11</v>
      </c>
      <c r="E12">
        <v>180</v>
      </c>
      <c r="F12">
        <v>0.2</v>
      </c>
      <c r="G12">
        <v>1980</v>
      </c>
      <c r="H12" t="s">
        <v>113</v>
      </c>
    </row>
    <row r="13" spans="1:8">
      <c r="A13" s="72">
        <v>44595</v>
      </c>
      <c r="B13" t="s">
        <v>33</v>
      </c>
      <c r="C13" t="s">
        <v>12</v>
      </c>
      <c r="D13">
        <v>2</v>
      </c>
      <c r="E13">
        <v>70.900000000000006</v>
      </c>
      <c r="F13">
        <v>0.15</v>
      </c>
      <c r="G13">
        <v>141.80000000000001</v>
      </c>
      <c r="H13" t="s">
        <v>113</v>
      </c>
    </row>
    <row r="14" spans="1:8">
      <c r="A14" s="72">
        <v>44597</v>
      </c>
      <c r="B14" t="s">
        <v>57</v>
      </c>
      <c r="C14" t="s">
        <v>13</v>
      </c>
      <c r="D14">
        <v>7</v>
      </c>
      <c r="E14">
        <v>120</v>
      </c>
      <c r="F14">
        <v>0.2</v>
      </c>
      <c r="G14">
        <v>840</v>
      </c>
      <c r="H14" t="s">
        <v>116</v>
      </c>
    </row>
    <row r="15" spans="1:8">
      <c r="A15" s="72">
        <v>44610</v>
      </c>
      <c r="B15" t="s">
        <v>53</v>
      </c>
      <c r="C15" t="s">
        <v>12</v>
      </c>
      <c r="D15">
        <v>4</v>
      </c>
      <c r="E15">
        <v>249.9</v>
      </c>
      <c r="F15">
        <v>0.2</v>
      </c>
      <c r="G15">
        <v>999.6</v>
      </c>
      <c r="H15" t="s">
        <v>113</v>
      </c>
    </row>
    <row r="16" spans="1:8">
      <c r="A16" s="72">
        <v>44613</v>
      </c>
      <c r="B16" t="s">
        <v>44</v>
      </c>
      <c r="C16" t="s">
        <v>12</v>
      </c>
      <c r="D16">
        <v>4</v>
      </c>
      <c r="E16">
        <v>39.9</v>
      </c>
      <c r="F16">
        <v>0.1</v>
      </c>
      <c r="G16">
        <v>159.6</v>
      </c>
      <c r="H16" t="s">
        <v>115</v>
      </c>
    </row>
    <row r="17" spans="1:8">
      <c r="A17" s="72">
        <v>44616</v>
      </c>
      <c r="B17" t="s">
        <v>83</v>
      </c>
      <c r="C17" t="s">
        <v>12</v>
      </c>
      <c r="D17">
        <v>10</v>
      </c>
      <c r="E17">
        <v>70</v>
      </c>
      <c r="F17">
        <v>0.15</v>
      </c>
      <c r="G17">
        <v>700</v>
      </c>
      <c r="H17" t="s">
        <v>117</v>
      </c>
    </row>
    <row r="18" spans="1:8">
      <c r="A18" s="72">
        <v>44617</v>
      </c>
      <c r="B18" t="s">
        <v>39</v>
      </c>
      <c r="C18" t="s">
        <v>12</v>
      </c>
      <c r="D18">
        <v>5</v>
      </c>
      <c r="E18">
        <v>92.9</v>
      </c>
      <c r="F18">
        <v>0.15</v>
      </c>
      <c r="G18">
        <v>464.5</v>
      </c>
      <c r="H18" t="s">
        <v>117</v>
      </c>
    </row>
    <row r="19" spans="1:8">
      <c r="A19" s="72">
        <v>44618</v>
      </c>
      <c r="B19" t="s">
        <v>52</v>
      </c>
      <c r="C19" t="s">
        <v>12</v>
      </c>
      <c r="D19">
        <v>2</v>
      </c>
      <c r="E19">
        <v>300</v>
      </c>
      <c r="F19">
        <v>0.15</v>
      </c>
      <c r="G19">
        <v>600</v>
      </c>
      <c r="H19" t="s">
        <v>113</v>
      </c>
    </row>
    <row r="20" spans="1:8">
      <c r="A20" s="72">
        <v>44621</v>
      </c>
      <c r="B20" t="s">
        <v>31</v>
      </c>
      <c r="C20" t="s">
        <v>12</v>
      </c>
      <c r="D20">
        <v>5</v>
      </c>
      <c r="E20">
        <v>65.900000000000006</v>
      </c>
      <c r="F20">
        <v>0.2</v>
      </c>
      <c r="G20">
        <v>329.5</v>
      </c>
      <c r="H20" t="s">
        <v>113</v>
      </c>
    </row>
    <row r="21" spans="1:8">
      <c r="A21" s="72">
        <v>44621</v>
      </c>
      <c r="B21" t="s">
        <v>43</v>
      </c>
      <c r="C21" t="s">
        <v>12</v>
      </c>
      <c r="D21">
        <v>3</v>
      </c>
      <c r="E21">
        <v>39.9</v>
      </c>
      <c r="F21">
        <v>0.2</v>
      </c>
      <c r="G21">
        <v>119.7</v>
      </c>
      <c r="H21" t="s">
        <v>116</v>
      </c>
    </row>
    <row r="22" spans="1:8">
      <c r="A22" s="72">
        <v>44622</v>
      </c>
      <c r="B22" t="s">
        <v>43</v>
      </c>
      <c r="C22" t="s">
        <v>12</v>
      </c>
      <c r="D22">
        <v>1</v>
      </c>
      <c r="E22">
        <v>39.9</v>
      </c>
      <c r="F22">
        <v>0.1</v>
      </c>
      <c r="G22">
        <v>39.9</v>
      </c>
      <c r="H22" t="s">
        <v>116</v>
      </c>
    </row>
    <row r="23" spans="1:8">
      <c r="A23" s="72">
        <v>44623</v>
      </c>
      <c r="B23" t="s">
        <v>37</v>
      </c>
      <c r="C23" t="s">
        <v>12</v>
      </c>
      <c r="D23">
        <v>12</v>
      </c>
      <c r="E23">
        <v>85.9</v>
      </c>
      <c r="F23">
        <v>0.15</v>
      </c>
      <c r="G23">
        <v>1030.8</v>
      </c>
      <c r="H23" t="s">
        <v>114</v>
      </c>
    </row>
    <row r="24" spans="1:8">
      <c r="A24" s="72">
        <v>44624</v>
      </c>
      <c r="B24" t="s">
        <v>97</v>
      </c>
      <c r="C24" t="s">
        <v>12</v>
      </c>
      <c r="D24">
        <v>5</v>
      </c>
      <c r="E24">
        <v>32.9</v>
      </c>
      <c r="F24">
        <v>0.2</v>
      </c>
      <c r="G24">
        <v>164.5</v>
      </c>
      <c r="H24" t="s">
        <v>113</v>
      </c>
    </row>
    <row r="25" spans="1:8">
      <c r="A25" s="72">
        <v>44629</v>
      </c>
      <c r="B25" t="s">
        <v>84</v>
      </c>
      <c r="C25" t="s">
        <v>12</v>
      </c>
      <c r="D25">
        <v>11</v>
      </c>
      <c r="E25">
        <v>54.9</v>
      </c>
      <c r="F25">
        <v>0.2</v>
      </c>
      <c r="G25">
        <v>603.9</v>
      </c>
      <c r="H25" t="s">
        <v>113</v>
      </c>
    </row>
    <row r="26" spans="1:8">
      <c r="A26" s="72">
        <v>44634</v>
      </c>
      <c r="B26" t="s">
        <v>45</v>
      </c>
      <c r="C26" t="s">
        <v>12</v>
      </c>
      <c r="D26">
        <v>3</v>
      </c>
      <c r="E26">
        <v>42.5</v>
      </c>
      <c r="F26">
        <v>0.2</v>
      </c>
      <c r="G26">
        <v>127.5</v>
      </c>
      <c r="H26" t="s">
        <v>113</v>
      </c>
    </row>
    <row r="27" spans="1:8">
      <c r="A27" s="72">
        <v>44639</v>
      </c>
      <c r="B27" t="s">
        <v>64</v>
      </c>
      <c r="C27" t="s">
        <v>12</v>
      </c>
      <c r="D27">
        <v>8</v>
      </c>
      <c r="E27">
        <v>89.9</v>
      </c>
      <c r="F27">
        <v>0.2</v>
      </c>
      <c r="G27">
        <v>719.2</v>
      </c>
      <c r="H27" t="s">
        <v>116</v>
      </c>
    </row>
    <row r="28" spans="1:8">
      <c r="A28" s="72">
        <v>44641</v>
      </c>
      <c r="B28" t="s">
        <v>63</v>
      </c>
      <c r="C28" t="s">
        <v>14</v>
      </c>
      <c r="D28">
        <v>1</v>
      </c>
      <c r="E28">
        <v>259.89999999999998</v>
      </c>
      <c r="F28">
        <v>0</v>
      </c>
      <c r="G28">
        <v>259.89999999999998</v>
      </c>
      <c r="H28" t="s">
        <v>116</v>
      </c>
    </row>
    <row r="29" spans="1:8">
      <c r="A29" s="72">
        <v>44645</v>
      </c>
      <c r="B29" t="s">
        <v>48</v>
      </c>
      <c r="C29" t="s">
        <v>12</v>
      </c>
      <c r="D29">
        <v>11</v>
      </c>
      <c r="E29">
        <v>32.9</v>
      </c>
      <c r="F29">
        <v>0.15</v>
      </c>
      <c r="G29">
        <v>361.9</v>
      </c>
      <c r="H29" t="s">
        <v>117</v>
      </c>
    </row>
    <row r="30" spans="1:8">
      <c r="A30" s="72">
        <v>44653</v>
      </c>
      <c r="B30" t="s">
        <v>49</v>
      </c>
      <c r="C30" t="s">
        <v>13</v>
      </c>
      <c r="D30">
        <v>8</v>
      </c>
      <c r="E30">
        <v>49.9</v>
      </c>
      <c r="F30">
        <v>0.15</v>
      </c>
      <c r="G30">
        <v>399.2</v>
      </c>
      <c r="H30" t="s">
        <v>114</v>
      </c>
    </row>
    <row r="31" spans="1:8">
      <c r="A31" s="72">
        <v>44655</v>
      </c>
      <c r="B31" t="s">
        <v>35</v>
      </c>
      <c r="C31" t="s">
        <v>13</v>
      </c>
      <c r="D31">
        <v>4</v>
      </c>
      <c r="E31">
        <v>259.89999999999998</v>
      </c>
      <c r="F31">
        <v>0.1</v>
      </c>
      <c r="G31">
        <v>1039.5999999999999</v>
      </c>
      <c r="H31" t="s">
        <v>115</v>
      </c>
    </row>
    <row r="32" spans="1:8">
      <c r="A32" s="72">
        <v>44659</v>
      </c>
      <c r="B32" t="s">
        <v>56</v>
      </c>
      <c r="C32" t="s">
        <v>13</v>
      </c>
      <c r="D32">
        <v>1</v>
      </c>
      <c r="E32">
        <v>349.9</v>
      </c>
      <c r="F32">
        <v>0</v>
      </c>
      <c r="G32">
        <v>349.9</v>
      </c>
      <c r="H32" t="s">
        <v>114</v>
      </c>
    </row>
    <row r="33" spans="1:8">
      <c r="A33" s="72">
        <v>44662</v>
      </c>
      <c r="B33" t="s">
        <v>101</v>
      </c>
      <c r="C33" t="s">
        <v>12</v>
      </c>
      <c r="D33">
        <v>7</v>
      </c>
      <c r="E33">
        <v>49.9</v>
      </c>
      <c r="F33">
        <v>0.2</v>
      </c>
      <c r="G33">
        <v>349.3</v>
      </c>
      <c r="H33" t="s">
        <v>116</v>
      </c>
    </row>
    <row r="34" spans="1:8">
      <c r="A34" s="72">
        <v>44663</v>
      </c>
      <c r="B34" t="s">
        <v>83</v>
      </c>
      <c r="C34" t="s">
        <v>12</v>
      </c>
      <c r="D34">
        <v>11</v>
      </c>
      <c r="E34">
        <v>70</v>
      </c>
      <c r="F34">
        <v>0.2</v>
      </c>
      <c r="G34">
        <v>770</v>
      </c>
      <c r="H34" t="s">
        <v>116</v>
      </c>
    </row>
    <row r="35" spans="1:8">
      <c r="A35" s="72">
        <v>44664</v>
      </c>
      <c r="B35" t="s">
        <v>69</v>
      </c>
      <c r="C35" t="s">
        <v>12</v>
      </c>
      <c r="D35">
        <v>3</v>
      </c>
      <c r="E35">
        <v>146</v>
      </c>
      <c r="F35">
        <v>0.15</v>
      </c>
      <c r="G35">
        <v>438</v>
      </c>
      <c r="H35" t="s">
        <v>117</v>
      </c>
    </row>
    <row r="36" spans="1:8">
      <c r="A36" s="72">
        <v>44666</v>
      </c>
      <c r="B36" t="s">
        <v>102</v>
      </c>
      <c r="C36" t="s">
        <v>14</v>
      </c>
      <c r="D36">
        <v>8</v>
      </c>
      <c r="E36">
        <v>89.9</v>
      </c>
      <c r="F36">
        <v>0.15</v>
      </c>
      <c r="G36">
        <v>719.2</v>
      </c>
      <c r="H36" t="s">
        <v>117</v>
      </c>
    </row>
    <row r="37" spans="1:8">
      <c r="A37" s="72">
        <v>44673</v>
      </c>
      <c r="B37" t="s">
        <v>57</v>
      </c>
      <c r="C37" t="s">
        <v>13</v>
      </c>
      <c r="D37">
        <v>9</v>
      </c>
      <c r="E37">
        <v>120</v>
      </c>
      <c r="F37">
        <v>0.15</v>
      </c>
      <c r="G37">
        <v>1080</v>
      </c>
      <c r="H37" t="s">
        <v>114</v>
      </c>
    </row>
    <row r="38" spans="1:8">
      <c r="A38" s="72">
        <v>44674</v>
      </c>
      <c r="B38" t="s">
        <v>60</v>
      </c>
      <c r="C38" t="s">
        <v>14</v>
      </c>
      <c r="D38">
        <v>3</v>
      </c>
      <c r="E38">
        <v>259.89999999999998</v>
      </c>
      <c r="F38">
        <v>0.1</v>
      </c>
      <c r="G38">
        <v>779.7</v>
      </c>
      <c r="H38" t="s">
        <v>115</v>
      </c>
    </row>
    <row r="39" spans="1:8">
      <c r="A39" s="72">
        <v>44677</v>
      </c>
      <c r="B39" t="s">
        <v>50</v>
      </c>
      <c r="C39" t="s">
        <v>12</v>
      </c>
      <c r="D39">
        <v>6</v>
      </c>
      <c r="E39">
        <v>299.89999999999998</v>
      </c>
      <c r="F39">
        <v>0.1</v>
      </c>
      <c r="G39">
        <v>1799.4</v>
      </c>
      <c r="H39" t="s">
        <v>115</v>
      </c>
    </row>
    <row r="40" spans="1:8">
      <c r="A40" s="72">
        <v>44678</v>
      </c>
      <c r="B40" t="s">
        <v>109</v>
      </c>
      <c r="C40" t="s">
        <v>12</v>
      </c>
      <c r="D40">
        <v>11</v>
      </c>
      <c r="E40">
        <v>180</v>
      </c>
      <c r="F40">
        <v>0.15</v>
      </c>
      <c r="G40">
        <v>1980</v>
      </c>
      <c r="H40" t="s">
        <v>117</v>
      </c>
    </row>
    <row r="41" spans="1:8">
      <c r="A41" s="72">
        <v>44689</v>
      </c>
      <c r="B41" t="s">
        <v>55</v>
      </c>
      <c r="C41" t="s">
        <v>12</v>
      </c>
      <c r="D41">
        <v>10</v>
      </c>
      <c r="E41">
        <v>299.89999999999998</v>
      </c>
      <c r="F41">
        <v>0.15</v>
      </c>
      <c r="G41">
        <v>2999</v>
      </c>
      <c r="H41" t="s">
        <v>114</v>
      </c>
    </row>
    <row r="42" spans="1:8">
      <c r="A42" s="72">
        <v>44690</v>
      </c>
      <c r="B42" t="s">
        <v>106</v>
      </c>
      <c r="C42" t="s">
        <v>12</v>
      </c>
      <c r="D42">
        <v>8</v>
      </c>
      <c r="E42">
        <v>180</v>
      </c>
      <c r="F42">
        <v>0.15</v>
      </c>
      <c r="G42">
        <v>1440</v>
      </c>
      <c r="H42" t="s">
        <v>114</v>
      </c>
    </row>
    <row r="43" spans="1:8">
      <c r="A43" s="72">
        <v>44691</v>
      </c>
      <c r="B43" t="s">
        <v>57</v>
      </c>
      <c r="C43" t="s">
        <v>13</v>
      </c>
      <c r="D43">
        <v>5</v>
      </c>
      <c r="E43">
        <v>120</v>
      </c>
      <c r="F43">
        <v>0.15</v>
      </c>
      <c r="G43">
        <v>600</v>
      </c>
      <c r="H43" t="s">
        <v>117</v>
      </c>
    </row>
    <row r="44" spans="1:8">
      <c r="A44" s="72">
        <v>44692</v>
      </c>
      <c r="B44" t="s">
        <v>55</v>
      </c>
      <c r="C44" t="s">
        <v>12</v>
      </c>
      <c r="D44">
        <v>12</v>
      </c>
      <c r="E44">
        <v>299.89999999999998</v>
      </c>
      <c r="F44">
        <v>0.15</v>
      </c>
      <c r="G44">
        <v>3598.8</v>
      </c>
      <c r="H44" t="s">
        <v>114</v>
      </c>
    </row>
    <row r="45" spans="1:8">
      <c r="A45" s="72">
        <v>44693</v>
      </c>
      <c r="B45" t="s">
        <v>66</v>
      </c>
      <c r="C45" t="s">
        <v>12</v>
      </c>
      <c r="D45">
        <v>10</v>
      </c>
      <c r="E45">
        <v>93.5</v>
      </c>
      <c r="F45">
        <v>0.1</v>
      </c>
      <c r="G45">
        <v>935</v>
      </c>
      <c r="H45" t="s">
        <v>115</v>
      </c>
    </row>
    <row r="46" spans="1:8">
      <c r="A46" s="72">
        <v>44696</v>
      </c>
      <c r="B46" t="s">
        <v>93</v>
      </c>
      <c r="C46" t="s">
        <v>12</v>
      </c>
      <c r="D46">
        <v>1</v>
      </c>
      <c r="E46">
        <v>289.89999999999998</v>
      </c>
      <c r="F46">
        <v>0.1</v>
      </c>
      <c r="G46">
        <v>289.89999999999998</v>
      </c>
      <c r="H46" t="s">
        <v>113</v>
      </c>
    </row>
    <row r="47" spans="1:8">
      <c r="A47" s="72">
        <v>44699</v>
      </c>
      <c r="B47" t="s">
        <v>32</v>
      </c>
      <c r="C47" t="s">
        <v>12</v>
      </c>
      <c r="D47">
        <v>10</v>
      </c>
      <c r="E47">
        <v>69.900000000000006</v>
      </c>
      <c r="F47">
        <v>0.1</v>
      </c>
      <c r="G47">
        <v>699</v>
      </c>
      <c r="H47" t="s">
        <v>115</v>
      </c>
    </row>
    <row r="48" spans="1:8">
      <c r="A48" s="72">
        <v>44719</v>
      </c>
      <c r="B48" t="s">
        <v>65</v>
      </c>
      <c r="C48" t="s">
        <v>12</v>
      </c>
      <c r="D48">
        <v>10</v>
      </c>
      <c r="E48">
        <v>91.4</v>
      </c>
      <c r="F48">
        <v>0.15</v>
      </c>
      <c r="G48">
        <v>914</v>
      </c>
      <c r="H48" t="s">
        <v>117</v>
      </c>
    </row>
    <row r="49" spans="1:8">
      <c r="A49" s="72">
        <v>44719</v>
      </c>
      <c r="B49" t="s">
        <v>88</v>
      </c>
      <c r="C49" t="s">
        <v>12</v>
      </c>
      <c r="D49">
        <v>4</v>
      </c>
      <c r="E49">
        <v>72.5</v>
      </c>
      <c r="F49">
        <v>0.15</v>
      </c>
      <c r="G49">
        <v>290</v>
      </c>
      <c r="H49" t="s">
        <v>117</v>
      </c>
    </row>
    <row r="50" spans="1:8">
      <c r="A50" s="72">
        <v>44721</v>
      </c>
      <c r="B50" t="s">
        <v>100</v>
      </c>
      <c r="C50" t="s">
        <v>12</v>
      </c>
      <c r="D50">
        <v>9</v>
      </c>
      <c r="E50">
        <v>49.9</v>
      </c>
      <c r="F50">
        <v>0.2</v>
      </c>
      <c r="G50">
        <v>449.1</v>
      </c>
      <c r="H50" t="s">
        <v>113</v>
      </c>
    </row>
    <row r="51" spans="1:8">
      <c r="A51" s="72">
        <v>44721</v>
      </c>
      <c r="B51" t="s">
        <v>34</v>
      </c>
      <c r="C51" t="s">
        <v>13</v>
      </c>
      <c r="D51">
        <v>10</v>
      </c>
      <c r="E51">
        <v>145</v>
      </c>
      <c r="F51">
        <v>0.2</v>
      </c>
      <c r="G51">
        <v>1450</v>
      </c>
      <c r="H51" t="s">
        <v>113</v>
      </c>
    </row>
    <row r="52" spans="1:8">
      <c r="A52" s="72">
        <v>44723</v>
      </c>
      <c r="B52" t="s">
        <v>41</v>
      </c>
      <c r="C52" t="s">
        <v>12</v>
      </c>
      <c r="D52">
        <v>6</v>
      </c>
      <c r="E52">
        <v>46.9</v>
      </c>
      <c r="F52">
        <v>0.1</v>
      </c>
      <c r="G52">
        <v>281.39999999999998</v>
      </c>
      <c r="H52" t="s">
        <v>115</v>
      </c>
    </row>
    <row r="53" spans="1:8">
      <c r="A53" s="72">
        <v>44725</v>
      </c>
      <c r="B53" t="s">
        <v>56</v>
      </c>
      <c r="C53" t="s">
        <v>13</v>
      </c>
      <c r="D53">
        <v>4</v>
      </c>
      <c r="E53">
        <v>349.9</v>
      </c>
      <c r="F53">
        <v>0.15</v>
      </c>
      <c r="G53">
        <v>1399.6</v>
      </c>
      <c r="H53" t="s">
        <v>117</v>
      </c>
    </row>
    <row r="54" spans="1:8">
      <c r="A54" s="72">
        <v>44728</v>
      </c>
      <c r="B54" t="s">
        <v>46</v>
      </c>
      <c r="C54" t="s">
        <v>12</v>
      </c>
      <c r="D54">
        <v>6</v>
      </c>
      <c r="E54">
        <v>25.9</v>
      </c>
      <c r="F54">
        <v>0.2</v>
      </c>
      <c r="G54">
        <v>155.4</v>
      </c>
      <c r="H54" t="s">
        <v>116</v>
      </c>
    </row>
    <row r="55" spans="1:8">
      <c r="A55" s="72">
        <v>44728</v>
      </c>
      <c r="B55" t="s">
        <v>110</v>
      </c>
      <c r="C55" t="s">
        <v>12</v>
      </c>
      <c r="D55">
        <v>5</v>
      </c>
      <c r="E55">
        <v>180</v>
      </c>
      <c r="F55">
        <v>0.15</v>
      </c>
      <c r="G55">
        <v>900</v>
      </c>
      <c r="H55" t="s">
        <v>117</v>
      </c>
    </row>
    <row r="56" spans="1:8">
      <c r="A56" s="72">
        <v>44729</v>
      </c>
      <c r="B56" t="s">
        <v>60</v>
      </c>
      <c r="C56" t="s">
        <v>14</v>
      </c>
      <c r="D56">
        <v>5</v>
      </c>
      <c r="E56">
        <v>259.89999999999998</v>
      </c>
      <c r="F56">
        <v>0.1</v>
      </c>
      <c r="G56">
        <v>1299.5</v>
      </c>
      <c r="H56" t="s">
        <v>115</v>
      </c>
    </row>
    <row r="57" spans="1:8">
      <c r="A57" s="72">
        <v>44732</v>
      </c>
      <c r="B57" t="s">
        <v>67</v>
      </c>
      <c r="C57" t="s">
        <v>12</v>
      </c>
      <c r="D57">
        <v>9</v>
      </c>
      <c r="E57">
        <v>140</v>
      </c>
      <c r="F57">
        <v>0.2</v>
      </c>
      <c r="G57">
        <v>1260</v>
      </c>
      <c r="H57" t="s">
        <v>116</v>
      </c>
    </row>
    <row r="58" spans="1:8">
      <c r="A58" s="72">
        <v>44740</v>
      </c>
      <c r="B58" t="s">
        <v>34</v>
      </c>
      <c r="C58" t="s">
        <v>13</v>
      </c>
      <c r="D58">
        <v>10</v>
      </c>
      <c r="E58">
        <v>145</v>
      </c>
      <c r="F58">
        <v>0.2</v>
      </c>
      <c r="G58">
        <v>1450</v>
      </c>
      <c r="H58" t="s">
        <v>116</v>
      </c>
    </row>
    <row r="59" spans="1:8">
      <c r="A59" s="72">
        <v>44740</v>
      </c>
      <c r="B59" t="s">
        <v>59</v>
      </c>
      <c r="C59" t="s">
        <v>14</v>
      </c>
      <c r="D59">
        <v>1</v>
      </c>
      <c r="E59">
        <v>255</v>
      </c>
      <c r="F59">
        <v>0</v>
      </c>
      <c r="G59">
        <v>255</v>
      </c>
      <c r="H59" t="s">
        <v>116</v>
      </c>
    </row>
    <row r="60" spans="1:8">
      <c r="A60" s="72">
        <v>44741</v>
      </c>
      <c r="B60" t="s">
        <v>63</v>
      </c>
      <c r="C60" t="s">
        <v>14</v>
      </c>
      <c r="D60">
        <v>11</v>
      </c>
      <c r="E60">
        <v>259.89999999999998</v>
      </c>
      <c r="F60">
        <v>0.1</v>
      </c>
      <c r="G60">
        <v>2858.9</v>
      </c>
      <c r="H60" t="s">
        <v>115</v>
      </c>
    </row>
    <row r="61" spans="1:8">
      <c r="A61" s="72">
        <v>44742</v>
      </c>
      <c r="B61" t="s">
        <v>96</v>
      </c>
      <c r="C61" t="s">
        <v>12</v>
      </c>
      <c r="D61">
        <v>5</v>
      </c>
      <c r="E61">
        <v>32.9</v>
      </c>
      <c r="F61">
        <v>0.2</v>
      </c>
      <c r="G61">
        <v>164.5</v>
      </c>
      <c r="H61" t="s">
        <v>116</v>
      </c>
    </row>
    <row r="62" spans="1:8">
      <c r="A62" s="72">
        <v>44747</v>
      </c>
      <c r="B62" t="s">
        <v>39</v>
      </c>
      <c r="C62" t="s">
        <v>12</v>
      </c>
      <c r="D62">
        <v>3</v>
      </c>
      <c r="E62">
        <v>92.9</v>
      </c>
      <c r="F62">
        <v>0.1</v>
      </c>
      <c r="G62">
        <v>278.7</v>
      </c>
      <c r="H62" t="s">
        <v>115</v>
      </c>
    </row>
    <row r="63" spans="1:8">
      <c r="A63" s="72">
        <v>44748</v>
      </c>
      <c r="B63" t="s">
        <v>56</v>
      </c>
      <c r="C63" t="s">
        <v>13</v>
      </c>
      <c r="D63">
        <v>5</v>
      </c>
      <c r="E63">
        <v>349.9</v>
      </c>
      <c r="F63">
        <v>0.2</v>
      </c>
      <c r="G63">
        <v>1749.5</v>
      </c>
      <c r="H63" t="s">
        <v>113</v>
      </c>
    </row>
    <row r="64" spans="1:8">
      <c r="A64" s="72">
        <v>44749</v>
      </c>
      <c r="B64" t="s">
        <v>44</v>
      </c>
      <c r="C64" t="s">
        <v>12</v>
      </c>
      <c r="D64">
        <v>3</v>
      </c>
      <c r="E64">
        <v>39.9</v>
      </c>
      <c r="F64">
        <v>0.2</v>
      </c>
      <c r="G64">
        <v>119.7</v>
      </c>
      <c r="H64" t="s">
        <v>113</v>
      </c>
    </row>
    <row r="65" spans="1:8">
      <c r="A65" s="72">
        <v>44754</v>
      </c>
      <c r="B65" t="s">
        <v>40</v>
      </c>
      <c r="C65" t="s">
        <v>12</v>
      </c>
      <c r="D65">
        <v>6</v>
      </c>
      <c r="E65">
        <v>44.9</v>
      </c>
      <c r="F65">
        <v>0.15</v>
      </c>
      <c r="G65">
        <v>269.39999999999998</v>
      </c>
      <c r="H65" t="s">
        <v>117</v>
      </c>
    </row>
    <row r="66" spans="1:8">
      <c r="A66" s="72">
        <v>44755</v>
      </c>
      <c r="B66" t="s">
        <v>62</v>
      </c>
      <c r="C66" t="s">
        <v>14</v>
      </c>
      <c r="D66">
        <v>11</v>
      </c>
      <c r="E66">
        <v>250</v>
      </c>
      <c r="F66">
        <v>0.15</v>
      </c>
      <c r="G66">
        <v>2750</v>
      </c>
      <c r="H66" t="s">
        <v>114</v>
      </c>
    </row>
    <row r="67" spans="1:8">
      <c r="A67" s="72">
        <v>44759</v>
      </c>
      <c r="B67" t="s">
        <v>69</v>
      </c>
      <c r="C67" t="s">
        <v>12</v>
      </c>
      <c r="D67">
        <v>8</v>
      </c>
      <c r="E67">
        <v>146</v>
      </c>
      <c r="F67">
        <v>0.15</v>
      </c>
      <c r="G67">
        <v>1168</v>
      </c>
      <c r="H67" t="s">
        <v>114</v>
      </c>
    </row>
    <row r="68" spans="1:8">
      <c r="A68" s="72">
        <v>44765</v>
      </c>
      <c r="B68" t="s">
        <v>55</v>
      </c>
      <c r="C68" t="s">
        <v>12</v>
      </c>
      <c r="D68">
        <v>11</v>
      </c>
      <c r="E68">
        <v>299.89999999999998</v>
      </c>
      <c r="F68">
        <v>0.2</v>
      </c>
      <c r="G68">
        <v>3298.9</v>
      </c>
      <c r="H68" t="s">
        <v>113</v>
      </c>
    </row>
    <row r="69" spans="1:8">
      <c r="A69" s="72">
        <v>44768</v>
      </c>
      <c r="B69" t="s">
        <v>97</v>
      </c>
      <c r="C69" t="s">
        <v>12</v>
      </c>
      <c r="D69">
        <v>1</v>
      </c>
      <c r="E69">
        <v>32.9</v>
      </c>
      <c r="F69">
        <v>0.1</v>
      </c>
      <c r="G69">
        <v>32.9</v>
      </c>
      <c r="H69" t="s">
        <v>113</v>
      </c>
    </row>
    <row r="70" spans="1:8">
      <c r="A70" s="72">
        <v>44770</v>
      </c>
      <c r="B70" t="s">
        <v>100</v>
      </c>
      <c r="C70" t="s">
        <v>12</v>
      </c>
      <c r="D70">
        <v>2</v>
      </c>
      <c r="E70">
        <v>49.9</v>
      </c>
      <c r="F70">
        <v>0.15</v>
      </c>
      <c r="G70">
        <v>99.8</v>
      </c>
      <c r="H70" t="s">
        <v>113</v>
      </c>
    </row>
    <row r="71" spans="1:8">
      <c r="A71" s="72">
        <v>44771</v>
      </c>
      <c r="B71" t="s">
        <v>88</v>
      </c>
      <c r="C71" t="s">
        <v>12</v>
      </c>
      <c r="D71">
        <v>12</v>
      </c>
      <c r="E71">
        <v>72.5</v>
      </c>
      <c r="F71">
        <v>0.2</v>
      </c>
      <c r="G71">
        <v>870</v>
      </c>
      <c r="H71" t="s">
        <v>116</v>
      </c>
    </row>
    <row r="72" spans="1:8">
      <c r="A72" s="72">
        <v>44772</v>
      </c>
      <c r="B72" t="s">
        <v>67</v>
      </c>
      <c r="C72" t="s">
        <v>12</v>
      </c>
      <c r="D72">
        <v>4</v>
      </c>
      <c r="E72">
        <v>140</v>
      </c>
      <c r="F72">
        <v>0.2</v>
      </c>
      <c r="G72">
        <v>560</v>
      </c>
      <c r="H72" t="s">
        <v>116</v>
      </c>
    </row>
    <row r="73" spans="1:8">
      <c r="A73" s="72">
        <v>44778</v>
      </c>
      <c r="B73" t="s">
        <v>63</v>
      </c>
      <c r="C73" t="s">
        <v>14</v>
      </c>
      <c r="D73">
        <v>4</v>
      </c>
      <c r="E73">
        <v>259.89999999999998</v>
      </c>
      <c r="F73">
        <v>0.15</v>
      </c>
      <c r="G73">
        <v>1039.5999999999999</v>
      </c>
      <c r="H73" t="s">
        <v>114</v>
      </c>
    </row>
    <row r="74" spans="1:8">
      <c r="A74" s="72">
        <v>44779</v>
      </c>
      <c r="B74" t="s">
        <v>33</v>
      </c>
      <c r="C74" t="s">
        <v>12</v>
      </c>
      <c r="D74">
        <v>9</v>
      </c>
      <c r="E74">
        <v>70.900000000000006</v>
      </c>
      <c r="F74">
        <v>0.1</v>
      </c>
      <c r="G74">
        <v>638.1</v>
      </c>
      <c r="H74" t="s">
        <v>115</v>
      </c>
    </row>
    <row r="75" spans="1:8">
      <c r="A75" s="72">
        <v>44780</v>
      </c>
      <c r="B75" t="s">
        <v>106</v>
      </c>
      <c r="C75" t="s">
        <v>12</v>
      </c>
      <c r="D75">
        <v>5</v>
      </c>
      <c r="E75">
        <v>180</v>
      </c>
      <c r="F75">
        <v>0.2</v>
      </c>
      <c r="G75">
        <v>900</v>
      </c>
      <c r="H75" t="s">
        <v>116</v>
      </c>
    </row>
    <row r="76" spans="1:8">
      <c r="A76" s="72">
        <v>44781</v>
      </c>
      <c r="B76" t="s">
        <v>97</v>
      </c>
      <c r="C76" t="s">
        <v>12</v>
      </c>
      <c r="D76">
        <v>7</v>
      </c>
      <c r="E76">
        <v>32.9</v>
      </c>
      <c r="F76">
        <v>0.15</v>
      </c>
      <c r="G76">
        <v>230.3</v>
      </c>
      <c r="H76" t="s">
        <v>117</v>
      </c>
    </row>
    <row r="77" spans="1:8">
      <c r="A77" s="72">
        <v>44782</v>
      </c>
      <c r="B77" t="s">
        <v>88</v>
      </c>
      <c r="C77" t="s">
        <v>12</v>
      </c>
      <c r="D77">
        <v>2</v>
      </c>
      <c r="E77">
        <v>72.5</v>
      </c>
      <c r="F77">
        <v>0.15</v>
      </c>
      <c r="G77">
        <v>145</v>
      </c>
      <c r="H77" t="s">
        <v>117</v>
      </c>
    </row>
    <row r="78" spans="1:8">
      <c r="A78" s="72">
        <v>44783</v>
      </c>
      <c r="B78" t="s">
        <v>49</v>
      </c>
      <c r="C78" t="s">
        <v>13</v>
      </c>
      <c r="D78">
        <v>6</v>
      </c>
      <c r="E78">
        <v>49.9</v>
      </c>
      <c r="F78">
        <v>0.15</v>
      </c>
      <c r="G78">
        <v>299.39999999999998</v>
      </c>
      <c r="H78" t="s">
        <v>117</v>
      </c>
    </row>
    <row r="79" spans="1:8">
      <c r="A79" s="72">
        <v>44784</v>
      </c>
      <c r="B79" t="s">
        <v>66</v>
      </c>
      <c r="C79" t="s">
        <v>12</v>
      </c>
      <c r="D79">
        <v>1</v>
      </c>
      <c r="E79">
        <v>93.5</v>
      </c>
      <c r="F79">
        <v>0.1</v>
      </c>
      <c r="G79">
        <v>93.5</v>
      </c>
      <c r="H79" t="s">
        <v>115</v>
      </c>
    </row>
    <row r="80" spans="1:8">
      <c r="A80" s="72">
        <v>44785</v>
      </c>
      <c r="B80" t="s">
        <v>59</v>
      </c>
      <c r="C80" t="s">
        <v>14</v>
      </c>
      <c r="D80">
        <v>7</v>
      </c>
      <c r="E80">
        <v>255</v>
      </c>
      <c r="F80">
        <v>0.15</v>
      </c>
      <c r="G80">
        <v>1785</v>
      </c>
      <c r="H80" t="s">
        <v>114</v>
      </c>
    </row>
    <row r="81" spans="1:8">
      <c r="A81" s="72">
        <v>44786</v>
      </c>
      <c r="B81" t="s">
        <v>56</v>
      </c>
      <c r="C81" t="s">
        <v>13</v>
      </c>
      <c r="D81">
        <v>10</v>
      </c>
      <c r="E81">
        <v>349.9</v>
      </c>
      <c r="F81">
        <v>0.15</v>
      </c>
      <c r="G81">
        <v>3499</v>
      </c>
      <c r="H81" t="s">
        <v>117</v>
      </c>
    </row>
    <row r="82" spans="1:8">
      <c r="A82" s="72">
        <v>44787</v>
      </c>
      <c r="B82" t="s">
        <v>85</v>
      </c>
      <c r="C82" t="s">
        <v>12</v>
      </c>
      <c r="D82">
        <v>8</v>
      </c>
      <c r="E82">
        <v>54.9</v>
      </c>
      <c r="F82">
        <v>0.2</v>
      </c>
      <c r="G82">
        <v>439.2</v>
      </c>
      <c r="H82" t="s">
        <v>116</v>
      </c>
    </row>
    <row r="83" spans="1:8">
      <c r="A83" s="72">
        <v>44788</v>
      </c>
      <c r="B83" t="s">
        <v>41</v>
      </c>
      <c r="C83" t="s">
        <v>12</v>
      </c>
      <c r="D83">
        <v>11</v>
      </c>
      <c r="E83">
        <v>46.9</v>
      </c>
      <c r="F83">
        <v>0.2</v>
      </c>
      <c r="G83">
        <v>515.9</v>
      </c>
      <c r="H83" t="s">
        <v>116</v>
      </c>
    </row>
    <row r="84" spans="1:8">
      <c r="A84" s="72">
        <v>44809</v>
      </c>
      <c r="B84" t="s">
        <v>97</v>
      </c>
      <c r="C84" t="s">
        <v>12</v>
      </c>
      <c r="D84">
        <v>7</v>
      </c>
      <c r="E84">
        <v>32.9</v>
      </c>
      <c r="F84">
        <v>0.15</v>
      </c>
      <c r="G84">
        <v>230.3</v>
      </c>
      <c r="H84" t="s">
        <v>117</v>
      </c>
    </row>
    <row r="85" spans="1:8">
      <c r="A85" s="72">
        <v>44810</v>
      </c>
      <c r="B85" t="s">
        <v>41</v>
      </c>
      <c r="C85" t="s">
        <v>12</v>
      </c>
      <c r="D85">
        <v>12</v>
      </c>
      <c r="E85">
        <v>46.9</v>
      </c>
      <c r="F85">
        <v>0.2</v>
      </c>
      <c r="G85">
        <v>562.79999999999995</v>
      </c>
      <c r="H85" t="s">
        <v>113</v>
      </c>
    </row>
    <row r="86" spans="1:8">
      <c r="A86" s="72">
        <v>44811</v>
      </c>
      <c r="B86" t="s">
        <v>50</v>
      </c>
      <c r="C86" t="s">
        <v>12</v>
      </c>
      <c r="D86">
        <v>9</v>
      </c>
      <c r="E86">
        <v>299.89999999999998</v>
      </c>
      <c r="F86">
        <v>0.15</v>
      </c>
      <c r="G86">
        <v>2699.1</v>
      </c>
      <c r="H86" t="s">
        <v>114</v>
      </c>
    </row>
    <row r="87" spans="1:8">
      <c r="A87" s="72">
        <v>44812</v>
      </c>
      <c r="B87" t="s">
        <v>90</v>
      </c>
      <c r="C87" t="s">
        <v>12</v>
      </c>
      <c r="D87">
        <v>6</v>
      </c>
      <c r="E87">
        <v>289.89999999999998</v>
      </c>
      <c r="F87">
        <v>0.1</v>
      </c>
      <c r="G87">
        <v>1739.4</v>
      </c>
      <c r="H87" t="s">
        <v>115</v>
      </c>
    </row>
    <row r="88" spans="1:8">
      <c r="A88" s="72">
        <v>44813</v>
      </c>
      <c r="B88" t="s">
        <v>52</v>
      </c>
      <c r="C88" t="s">
        <v>12</v>
      </c>
      <c r="D88">
        <v>2</v>
      </c>
      <c r="E88">
        <v>300</v>
      </c>
      <c r="F88">
        <v>0.15</v>
      </c>
      <c r="G88">
        <v>600</v>
      </c>
      <c r="H88" t="s">
        <v>117</v>
      </c>
    </row>
    <row r="89" spans="1:8">
      <c r="A89" s="72">
        <v>44814</v>
      </c>
      <c r="B89" t="s">
        <v>63</v>
      </c>
      <c r="C89" t="s">
        <v>14</v>
      </c>
      <c r="D89">
        <v>3</v>
      </c>
      <c r="E89">
        <v>259.89999999999998</v>
      </c>
      <c r="F89">
        <v>0.1</v>
      </c>
      <c r="G89">
        <v>779.7</v>
      </c>
      <c r="H89" t="s">
        <v>115</v>
      </c>
    </row>
    <row r="90" spans="1:8">
      <c r="A90" s="72">
        <v>44815</v>
      </c>
      <c r="B90" t="s">
        <v>37</v>
      </c>
      <c r="C90" t="s">
        <v>12</v>
      </c>
      <c r="D90">
        <v>9</v>
      </c>
      <c r="E90">
        <v>85.9</v>
      </c>
      <c r="F90">
        <v>0.2</v>
      </c>
      <c r="G90">
        <v>773.1</v>
      </c>
      <c r="H90" t="s">
        <v>116</v>
      </c>
    </row>
    <row r="91" spans="1:8">
      <c r="A91" s="72">
        <v>44816</v>
      </c>
      <c r="B91" t="s">
        <v>89</v>
      </c>
      <c r="C91" t="s">
        <v>12</v>
      </c>
      <c r="D91">
        <v>4</v>
      </c>
      <c r="E91">
        <v>72.5</v>
      </c>
      <c r="F91">
        <v>0.2</v>
      </c>
      <c r="G91">
        <v>290</v>
      </c>
      <c r="H91" t="s">
        <v>113</v>
      </c>
    </row>
    <row r="92" spans="1:8">
      <c r="A92" s="72">
        <v>44817</v>
      </c>
      <c r="B92" t="s">
        <v>105</v>
      </c>
      <c r="C92" t="s">
        <v>14</v>
      </c>
      <c r="D92">
        <v>1</v>
      </c>
      <c r="E92">
        <v>89.9</v>
      </c>
      <c r="F92">
        <v>0</v>
      </c>
      <c r="G92">
        <v>89.9</v>
      </c>
      <c r="H92" t="s">
        <v>116</v>
      </c>
    </row>
    <row r="93" spans="1:8">
      <c r="A93" s="72">
        <v>44818</v>
      </c>
      <c r="B93" t="s">
        <v>51</v>
      </c>
      <c r="C93" t="s">
        <v>12</v>
      </c>
      <c r="D93">
        <v>11</v>
      </c>
      <c r="E93">
        <v>302.89999999999998</v>
      </c>
      <c r="F93">
        <v>0.15</v>
      </c>
      <c r="G93">
        <v>3331.9</v>
      </c>
      <c r="H93" t="s">
        <v>117</v>
      </c>
    </row>
    <row r="94" spans="1:8">
      <c r="A94" s="72">
        <v>44819</v>
      </c>
      <c r="B94" t="s">
        <v>48</v>
      </c>
      <c r="C94" t="s">
        <v>12</v>
      </c>
      <c r="D94">
        <v>6</v>
      </c>
      <c r="E94">
        <v>32.9</v>
      </c>
      <c r="F94">
        <v>0.2</v>
      </c>
      <c r="G94">
        <v>197.4</v>
      </c>
      <c r="H94" t="s">
        <v>113</v>
      </c>
    </row>
    <row r="95" spans="1:8">
      <c r="A95" s="72">
        <v>44839</v>
      </c>
      <c r="B95" t="s">
        <v>83</v>
      </c>
      <c r="C95" t="s">
        <v>12</v>
      </c>
      <c r="D95">
        <v>5</v>
      </c>
      <c r="E95">
        <v>70</v>
      </c>
      <c r="F95">
        <v>0.15</v>
      </c>
      <c r="G95">
        <v>350</v>
      </c>
      <c r="H95" t="s">
        <v>117</v>
      </c>
    </row>
    <row r="96" spans="1:8">
      <c r="A96" s="72">
        <v>44840</v>
      </c>
      <c r="B96" t="s">
        <v>43</v>
      </c>
      <c r="C96" t="s">
        <v>12</v>
      </c>
      <c r="D96">
        <v>10</v>
      </c>
      <c r="E96">
        <v>39.9</v>
      </c>
      <c r="F96">
        <v>0.2</v>
      </c>
      <c r="G96">
        <v>399</v>
      </c>
      <c r="H96" t="s">
        <v>113</v>
      </c>
    </row>
    <row r="97" spans="1:8">
      <c r="A97" s="72">
        <v>44841</v>
      </c>
      <c r="B97" t="s">
        <v>33</v>
      </c>
      <c r="C97" t="s">
        <v>12</v>
      </c>
      <c r="D97">
        <v>8</v>
      </c>
      <c r="E97">
        <v>70.900000000000006</v>
      </c>
      <c r="F97">
        <v>0.15</v>
      </c>
      <c r="G97">
        <v>567.20000000000005</v>
      </c>
      <c r="H97" t="s">
        <v>114</v>
      </c>
    </row>
    <row r="98" spans="1:8">
      <c r="A98" s="72">
        <v>44842</v>
      </c>
      <c r="B98" t="s">
        <v>35</v>
      </c>
      <c r="C98" t="s">
        <v>13</v>
      </c>
      <c r="D98">
        <v>11</v>
      </c>
      <c r="E98">
        <v>259.89999999999998</v>
      </c>
      <c r="F98">
        <v>0.2</v>
      </c>
      <c r="G98">
        <v>2858.9</v>
      </c>
      <c r="H98" t="s">
        <v>116</v>
      </c>
    </row>
    <row r="99" spans="1:8">
      <c r="A99" s="72">
        <v>44843</v>
      </c>
      <c r="B99" t="s">
        <v>92</v>
      </c>
      <c r="C99" t="s">
        <v>12</v>
      </c>
      <c r="D99">
        <v>4</v>
      </c>
      <c r="E99">
        <v>289.89999999999998</v>
      </c>
      <c r="F99">
        <v>0.2</v>
      </c>
      <c r="G99">
        <v>1159.5999999999999</v>
      </c>
      <c r="H99" t="s">
        <v>116</v>
      </c>
    </row>
    <row r="100" spans="1:8">
      <c r="A100" s="72">
        <v>44844</v>
      </c>
      <c r="B100" t="s">
        <v>56</v>
      </c>
      <c r="C100" t="s">
        <v>13</v>
      </c>
      <c r="D100">
        <v>2</v>
      </c>
      <c r="E100">
        <v>349.9</v>
      </c>
      <c r="F100">
        <v>0.05</v>
      </c>
      <c r="G100">
        <v>699.8</v>
      </c>
      <c r="H100" t="s">
        <v>113</v>
      </c>
    </row>
    <row r="101" spans="1:8">
      <c r="A101" s="72">
        <v>44845</v>
      </c>
      <c r="B101" t="s">
        <v>98</v>
      </c>
      <c r="C101" t="s">
        <v>12</v>
      </c>
      <c r="D101">
        <v>11</v>
      </c>
      <c r="E101">
        <v>49.9</v>
      </c>
      <c r="F101">
        <v>0.1</v>
      </c>
      <c r="G101">
        <v>548.9</v>
      </c>
      <c r="H101" t="s">
        <v>115</v>
      </c>
    </row>
    <row r="102" spans="1:8">
      <c r="A102" s="72">
        <v>44846</v>
      </c>
      <c r="B102" t="s">
        <v>45</v>
      </c>
      <c r="C102" t="s">
        <v>12</v>
      </c>
      <c r="D102">
        <v>8</v>
      </c>
      <c r="E102">
        <v>42.5</v>
      </c>
      <c r="F102">
        <v>0.2</v>
      </c>
      <c r="G102">
        <v>340</v>
      </c>
      <c r="H102" t="s">
        <v>116</v>
      </c>
    </row>
    <row r="103" spans="1:8">
      <c r="A103" s="72">
        <v>44847</v>
      </c>
      <c r="B103" t="s">
        <v>96</v>
      </c>
      <c r="C103" t="s">
        <v>12</v>
      </c>
      <c r="D103">
        <v>12</v>
      </c>
      <c r="E103">
        <v>32.9</v>
      </c>
      <c r="F103">
        <v>0.15</v>
      </c>
      <c r="G103">
        <v>394.8</v>
      </c>
      <c r="H103" t="s">
        <v>117</v>
      </c>
    </row>
    <row r="104" spans="1:8">
      <c r="A104" s="72">
        <v>44848</v>
      </c>
      <c r="B104" t="s">
        <v>89</v>
      </c>
      <c r="C104" t="s">
        <v>12</v>
      </c>
      <c r="D104">
        <v>7</v>
      </c>
      <c r="E104">
        <v>72.5</v>
      </c>
      <c r="F104">
        <v>0.15</v>
      </c>
      <c r="G104">
        <v>507.5</v>
      </c>
      <c r="H104" t="s">
        <v>117</v>
      </c>
    </row>
    <row r="105" spans="1:8">
      <c r="A105" s="72">
        <v>44849</v>
      </c>
      <c r="B105" t="s">
        <v>62</v>
      </c>
      <c r="C105" t="s">
        <v>14</v>
      </c>
      <c r="D105">
        <v>6</v>
      </c>
      <c r="E105">
        <v>250</v>
      </c>
      <c r="F105">
        <v>0.15</v>
      </c>
      <c r="G105">
        <v>1500</v>
      </c>
      <c r="H105" t="s">
        <v>114</v>
      </c>
    </row>
    <row r="106" spans="1:8">
      <c r="A106" s="72">
        <v>44870</v>
      </c>
      <c r="B106" t="s">
        <v>69</v>
      </c>
      <c r="C106" t="s">
        <v>12</v>
      </c>
      <c r="D106">
        <v>4</v>
      </c>
      <c r="E106">
        <v>146</v>
      </c>
      <c r="F106">
        <v>0.15</v>
      </c>
      <c r="G106">
        <v>584</v>
      </c>
      <c r="H106" t="s">
        <v>114</v>
      </c>
    </row>
    <row r="107" spans="1:8">
      <c r="A107" s="72">
        <v>44871</v>
      </c>
      <c r="B107" t="s">
        <v>47</v>
      </c>
      <c r="C107" t="s">
        <v>12</v>
      </c>
      <c r="D107">
        <v>7</v>
      </c>
      <c r="E107">
        <v>29.9</v>
      </c>
      <c r="F107">
        <v>0.15</v>
      </c>
      <c r="G107">
        <v>209.3</v>
      </c>
      <c r="H107" t="s">
        <v>117</v>
      </c>
    </row>
    <row r="108" spans="1:8">
      <c r="A108" s="72">
        <v>44872</v>
      </c>
      <c r="B108" t="s">
        <v>46</v>
      </c>
      <c r="C108" t="s">
        <v>12</v>
      </c>
      <c r="D108">
        <v>1</v>
      </c>
      <c r="E108">
        <v>25.9</v>
      </c>
      <c r="F108">
        <v>0.1</v>
      </c>
      <c r="G108">
        <v>25.9</v>
      </c>
      <c r="H108" t="s">
        <v>115</v>
      </c>
    </row>
    <row r="109" spans="1:8">
      <c r="A109" s="72">
        <v>44873</v>
      </c>
      <c r="B109" t="s">
        <v>88</v>
      </c>
      <c r="C109" t="s">
        <v>12</v>
      </c>
      <c r="D109">
        <v>10</v>
      </c>
      <c r="E109">
        <v>72.5</v>
      </c>
      <c r="F109">
        <v>0.15</v>
      </c>
      <c r="G109">
        <v>725</v>
      </c>
      <c r="H109" t="s">
        <v>114</v>
      </c>
    </row>
    <row r="110" spans="1:8">
      <c r="A110" s="72">
        <v>44874</v>
      </c>
      <c r="B110" t="s">
        <v>102</v>
      </c>
      <c r="C110" t="s">
        <v>14</v>
      </c>
      <c r="D110">
        <v>8</v>
      </c>
      <c r="E110">
        <v>89.9</v>
      </c>
      <c r="F110">
        <v>0.1</v>
      </c>
      <c r="G110">
        <v>719.2</v>
      </c>
      <c r="H110" t="s">
        <v>115</v>
      </c>
    </row>
    <row r="111" spans="1:8">
      <c r="A111" s="72">
        <v>44875</v>
      </c>
      <c r="B111" t="s">
        <v>69</v>
      </c>
      <c r="C111" t="s">
        <v>12</v>
      </c>
      <c r="D111">
        <v>9</v>
      </c>
      <c r="E111">
        <v>146</v>
      </c>
      <c r="F111">
        <v>0.1</v>
      </c>
      <c r="G111">
        <v>1314</v>
      </c>
      <c r="H111" t="s">
        <v>115</v>
      </c>
    </row>
    <row r="112" spans="1:8">
      <c r="A112" s="72">
        <v>44876</v>
      </c>
      <c r="B112" t="s">
        <v>103</v>
      </c>
      <c r="C112" t="s">
        <v>14</v>
      </c>
      <c r="D112">
        <v>3</v>
      </c>
      <c r="E112">
        <v>89.9</v>
      </c>
      <c r="F112">
        <v>0.15</v>
      </c>
      <c r="G112">
        <v>269.7</v>
      </c>
      <c r="H112" t="s">
        <v>116</v>
      </c>
    </row>
    <row r="113" spans="1:8">
      <c r="A113" s="72">
        <v>44877</v>
      </c>
      <c r="B113" t="s">
        <v>49</v>
      </c>
      <c r="C113" t="s">
        <v>13</v>
      </c>
      <c r="D113">
        <v>3</v>
      </c>
      <c r="E113">
        <v>49.9</v>
      </c>
      <c r="F113">
        <v>0.15</v>
      </c>
      <c r="G113">
        <v>149.69999999999999</v>
      </c>
      <c r="H113" t="s">
        <v>116</v>
      </c>
    </row>
    <row r="114" spans="1:8">
      <c r="A114" s="72">
        <v>44878</v>
      </c>
      <c r="B114" t="s">
        <v>58</v>
      </c>
      <c r="C114" t="s">
        <v>14</v>
      </c>
      <c r="D114">
        <v>3</v>
      </c>
      <c r="E114">
        <v>249.9</v>
      </c>
      <c r="F114">
        <v>0.1</v>
      </c>
      <c r="G114">
        <v>749.7</v>
      </c>
      <c r="H114" t="s">
        <v>115</v>
      </c>
    </row>
    <row r="115" spans="1:8">
      <c r="A115" s="72">
        <v>44879</v>
      </c>
      <c r="B115" t="s">
        <v>44</v>
      </c>
      <c r="C115" t="s">
        <v>12</v>
      </c>
      <c r="D115">
        <v>2</v>
      </c>
      <c r="E115">
        <v>39.9</v>
      </c>
      <c r="F115">
        <v>0.15</v>
      </c>
      <c r="G115">
        <v>79.8</v>
      </c>
      <c r="H115" t="s">
        <v>114</v>
      </c>
    </row>
    <row r="116" spans="1:8">
      <c r="A116" s="72">
        <v>44880</v>
      </c>
      <c r="B116" t="s">
        <v>100</v>
      </c>
      <c r="C116" t="s">
        <v>12</v>
      </c>
      <c r="D116">
        <v>2</v>
      </c>
      <c r="E116">
        <v>49.9</v>
      </c>
      <c r="F116">
        <v>0.15</v>
      </c>
      <c r="G116">
        <v>99.8</v>
      </c>
      <c r="H116" t="s">
        <v>114</v>
      </c>
    </row>
    <row r="117" spans="1:8">
      <c r="A117" s="72">
        <v>44900</v>
      </c>
      <c r="B117" t="s">
        <v>89</v>
      </c>
      <c r="C117" t="s">
        <v>12</v>
      </c>
      <c r="D117">
        <v>7</v>
      </c>
      <c r="E117">
        <v>72.5</v>
      </c>
      <c r="F117">
        <v>0.2</v>
      </c>
      <c r="G117">
        <v>507.5</v>
      </c>
      <c r="H117" t="s">
        <v>116</v>
      </c>
    </row>
    <row r="118" spans="1:8">
      <c r="A118" s="72">
        <v>44901</v>
      </c>
      <c r="B118" t="s">
        <v>46</v>
      </c>
      <c r="C118" t="s">
        <v>12</v>
      </c>
      <c r="D118">
        <v>5</v>
      </c>
      <c r="E118">
        <v>25.9</v>
      </c>
      <c r="F118">
        <v>0.1</v>
      </c>
      <c r="G118">
        <v>129.5</v>
      </c>
      <c r="H118" t="s">
        <v>115</v>
      </c>
    </row>
    <row r="119" spans="1:8">
      <c r="A119" s="72">
        <v>44902</v>
      </c>
      <c r="B119" t="s">
        <v>62</v>
      </c>
      <c r="C119" t="s">
        <v>14</v>
      </c>
      <c r="D119">
        <v>6</v>
      </c>
      <c r="E119">
        <v>250</v>
      </c>
      <c r="F119">
        <v>0.15</v>
      </c>
      <c r="G119">
        <v>1500</v>
      </c>
      <c r="H119" t="s">
        <v>114</v>
      </c>
    </row>
    <row r="120" spans="1:8">
      <c r="A120" s="72">
        <v>44903</v>
      </c>
      <c r="B120" t="s">
        <v>35</v>
      </c>
      <c r="C120" t="s">
        <v>13</v>
      </c>
      <c r="D120">
        <v>10</v>
      </c>
      <c r="E120">
        <v>259.89999999999998</v>
      </c>
      <c r="F120">
        <v>0.15</v>
      </c>
      <c r="G120">
        <v>2599</v>
      </c>
      <c r="H120" t="s">
        <v>117</v>
      </c>
    </row>
    <row r="121" spans="1:8">
      <c r="A121" s="72">
        <v>44904</v>
      </c>
      <c r="B121" t="s">
        <v>90</v>
      </c>
      <c r="C121" t="s">
        <v>12</v>
      </c>
      <c r="D121">
        <v>3</v>
      </c>
      <c r="E121">
        <v>289.89999999999998</v>
      </c>
      <c r="F121">
        <v>0.2</v>
      </c>
      <c r="G121">
        <v>869.7</v>
      </c>
      <c r="H121" t="s">
        <v>113</v>
      </c>
    </row>
    <row r="122" spans="1:8">
      <c r="A122" s="72">
        <v>44905</v>
      </c>
      <c r="B122" t="s">
        <v>51</v>
      </c>
      <c r="C122" t="s">
        <v>12</v>
      </c>
      <c r="D122">
        <v>4</v>
      </c>
      <c r="E122">
        <v>302.89999999999998</v>
      </c>
      <c r="F122">
        <v>0.15</v>
      </c>
      <c r="G122">
        <v>1211.5999999999999</v>
      </c>
      <c r="H122" t="s">
        <v>117</v>
      </c>
    </row>
    <row r="123" spans="1:8">
      <c r="A123" s="72">
        <v>44906</v>
      </c>
      <c r="B123" t="s">
        <v>109</v>
      </c>
      <c r="C123" t="s">
        <v>12</v>
      </c>
      <c r="D123">
        <v>9</v>
      </c>
      <c r="E123">
        <v>180</v>
      </c>
      <c r="F123">
        <v>0.15</v>
      </c>
      <c r="G123">
        <v>1620</v>
      </c>
      <c r="H123" t="s">
        <v>117</v>
      </c>
    </row>
    <row r="124" spans="1:8">
      <c r="A124" s="72">
        <v>44907</v>
      </c>
      <c r="B124" t="s">
        <v>31</v>
      </c>
      <c r="C124" t="s">
        <v>12</v>
      </c>
      <c r="D124">
        <v>5</v>
      </c>
      <c r="E124">
        <v>65.900000000000006</v>
      </c>
      <c r="F124">
        <v>0.15</v>
      </c>
      <c r="G124">
        <v>329.5</v>
      </c>
      <c r="H124" t="s">
        <v>114</v>
      </c>
    </row>
    <row r="125" spans="1:8">
      <c r="A125" s="72">
        <v>44908</v>
      </c>
      <c r="B125" t="s">
        <v>42</v>
      </c>
      <c r="C125" t="s">
        <v>12</v>
      </c>
      <c r="D125">
        <v>10</v>
      </c>
      <c r="E125">
        <v>48.9</v>
      </c>
      <c r="F125">
        <v>0.1</v>
      </c>
      <c r="G125">
        <v>489</v>
      </c>
      <c r="H125" t="s">
        <v>115</v>
      </c>
    </row>
    <row r="126" spans="1:8">
      <c r="A126" s="72">
        <v>44909</v>
      </c>
      <c r="B126" t="s">
        <v>90</v>
      </c>
      <c r="C126" t="s">
        <v>12</v>
      </c>
      <c r="D126">
        <v>2</v>
      </c>
      <c r="E126">
        <v>289.89999999999998</v>
      </c>
      <c r="F126">
        <v>0.15</v>
      </c>
      <c r="G126">
        <v>579.79999999999995</v>
      </c>
      <c r="H126" t="s">
        <v>114</v>
      </c>
    </row>
    <row r="127" spans="1:8">
      <c r="A127" s="72">
        <v>44910</v>
      </c>
      <c r="B127" t="s">
        <v>64</v>
      </c>
      <c r="C127" t="s">
        <v>12</v>
      </c>
      <c r="D127">
        <v>2</v>
      </c>
      <c r="E127">
        <v>89.9</v>
      </c>
      <c r="F127">
        <v>0.15</v>
      </c>
      <c r="G127">
        <v>179.8</v>
      </c>
      <c r="H127" t="s">
        <v>116</v>
      </c>
    </row>
    <row r="128" spans="1:8">
      <c r="A128" s="72">
        <v>44201</v>
      </c>
      <c r="B128" t="s">
        <v>106</v>
      </c>
      <c r="C128" t="s">
        <v>12</v>
      </c>
      <c r="D128">
        <v>11</v>
      </c>
      <c r="E128">
        <v>180</v>
      </c>
      <c r="F128">
        <v>0.2</v>
      </c>
      <c r="G128">
        <v>1980</v>
      </c>
      <c r="H128" t="s">
        <v>113</v>
      </c>
    </row>
    <row r="129" spans="1:8">
      <c r="A129" s="72">
        <v>44202</v>
      </c>
      <c r="B129" t="s">
        <v>84</v>
      </c>
      <c r="C129" t="s">
        <v>12</v>
      </c>
      <c r="D129">
        <v>3</v>
      </c>
      <c r="E129">
        <v>54.9</v>
      </c>
      <c r="F129">
        <v>0.2</v>
      </c>
      <c r="G129">
        <v>164.7</v>
      </c>
      <c r="H129" t="s">
        <v>113</v>
      </c>
    </row>
    <row r="130" spans="1:8">
      <c r="A130" s="72">
        <v>44203</v>
      </c>
      <c r="B130" t="s">
        <v>65</v>
      </c>
      <c r="C130" t="s">
        <v>12</v>
      </c>
      <c r="D130">
        <v>5</v>
      </c>
      <c r="E130">
        <v>91.4</v>
      </c>
      <c r="F130">
        <v>0.15</v>
      </c>
      <c r="G130">
        <v>457</v>
      </c>
      <c r="H130" t="s">
        <v>117</v>
      </c>
    </row>
    <row r="131" spans="1:8">
      <c r="A131" s="72">
        <v>44208</v>
      </c>
      <c r="B131" t="s">
        <v>92</v>
      </c>
      <c r="C131" t="s">
        <v>12</v>
      </c>
      <c r="D131">
        <v>7</v>
      </c>
      <c r="E131">
        <v>289.89999999999998</v>
      </c>
      <c r="F131">
        <v>0.1</v>
      </c>
      <c r="G131">
        <v>2029.3</v>
      </c>
      <c r="H131" t="s">
        <v>115</v>
      </c>
    </row>
    <row r="132" spans="1:8">
      <c r="A132" s="72">
        <v>44209</v>
      </c>
      <c r="B132" t="s">
        <v>42</v>
      </c>
      <c r="C132" t="s">
        <v>12</v>
      </c>
      <c r="D132">
        <v>5</v>
      </c>
      <c r="E132">
        <v>48.9</v>
      </c>
      <c r="F132">
        <v>0.2</v>
      </c>
      <c r="G132">
        <v>244.5</v>
      </c>
      <c r="H132" t="s">
        <v>116</v>
      </c>
    </row>
    <row r="133" spans="1:8">
      <c r="A133" s="72">
        <v>44213</v>
      </c>
      <c r="B133" t="s">
        <v>35</v>
      </c>
      <c r="C133" t="s">
        <v>13</v>
      </c>
      <c r="D133">
        <v>11</v>
      </c>
      <c r="E133">
        <v>259.89999999999998</v>
      </c>
      <c r="F133">
        <v>0.2</v>
      </c>
      <c r="G133">
        <v>2858.9</v>
      </c>
      <c r="H133" t="s">
        <v>113</v>
      </c>
    </row>
    <row r="134" spans="1:8">
      <c r="A134" s="72">
        <v>44219</v>
      </c>
      <c r="B134" t="s">
        <v>65</v>
      </c>
      <c r="C134" t="s">
        <v>12</v>
      </c>
      <c r="D134">
        <v>3</v>
      </c>
      <c r="E134">
        <v>91.4</v>
      </c>
      <c r="F134">
        <v>0.1</v>
      </c>
      <c r="G134">
        <v>274.2</v>
      </c>
      <c r="H134" t="s">
        <v>115</v>
      </c>
    </row>
    <row r="135" spans="1:8">
      <c r="A135" s="72">
        <v>44222</v>
      </c>
      <c r="B135" t="s">
        <v>103</v>
      </c>
      <c r="C135" t="s">
        <v>14</v>
      </c>
      <c r="D135">
        <v>3</v>
      </c>
      <c r="E135">
        <v>89.9</v>
      </c>
      <c r="F135">
        <v>0.1</v>
      </c>
      <c r="G135">
        <v>269.7</v>
      </c>
      <c r="H135" t="s">
        <v>115</v>
      </c>
    </row>
    <row r="136" spans="1:8">
      <c r="A136" s="72">
        <v>44224</v>
      </c>
      <c r="B136" t="s">
        <v>36</v>
      </c>
      <c r="C136" t="s">
        <v>13</v>
      </c>
      <c r="D136">
        <v>12</v>
      </c>
      <c r="E136">
        <v>39.9</v>
      </c>
      <c r="F136">
        <v>0.15</v>
      </c>
      <c r="G136">
        <v>478.8</v>
      </c>
      <c r="H136" t="s">
        <v>114</v>
      </c>
    </row>
    <row r="137" spans="1:8">
      <c r="A137" s="72">
        <v>44225</v>
      </c>
      <c r="B137" t="s">
        <v>49</v>
      </c>
      <c r="C137" t="s">
        <v>13</v>
      </c>
      <c r="D137">
        <v>11</v>
      </c>
      <c r="E137">
        <v>49.9</v>
      </c>
      <c r="F137">
        <v>0.15</v>
      </c>
      <c r="G137">
        <v>548.9</v>
      </c>
      <c r="H137" t="s">
        <v>117</v>
      </c>
    </row>
    <row r="138" spans="1:8">
      <c r="A138" s="72">
        <v>44226</v>
      </c>
      <c r="B138" t="s">
        <v>54</v>
      </c>
      <c r="C138" t="s">
        <v>12</v>
      </c>
      <c r="D138">
        <v>3</v>
      </c>
      <c r="E138">
        <v>259.89999999999998</v>
      </c>
      <c r="F138">
        <v>0.2</v>
      </c>
      <c r="G138">
        <v>779.7</v>
      </c>
      <c r="H138" t="s">
        <v>116</v>
      </c>
    </row>
    <row r="139" spans="1:8">
      <c r="A139" s="72">
        <v>44230</v>
      </c>
      <c r="B139" t="s">
        <v>44</v>
      </c>
      <c r="C139" t="s">
        <v>12</v>
      </c>
      <c r="D139">
        <v>10</v>
      </c>
      <c r="E139">
        <v>39.9</v>
      </c>
      <c r="F139">
        <v>0.15</v>
      </c>
      <c r="G139">
        <v>399</v>
      </c>
      <c r="H139" t="s">
        <v>114</v>
      </c>
    </row>
    <row r="140" spans="1:8">
      <c r="A140" s="72">
        <v>44232</v>
      </c>
      <c r="B140" t="s">
        <v>53</v>
      </c>
      <c r="C140" t="s">
        <v>12</v>
      </c>
      <c r="D140">
        <v>1</v>
      </c>
      <c r="E140">
        <v>249.9</v>
      </c>
      <c r="F140">
        <v>0.1</v>
      </c>
      <c r="G140">
        <v>249.9</v>
      </c>
      <c r="H140" t="s">
        <v>116</v>
      </c>
    </row>
    <row r="141" spans="1:8">
      <c r="A141" s="72">
        <v>44245</v>
      </c>
      <c r="B141" t="s">
        <v>42</v>
      </c>
      <c r="C141" t="s">
        <v>12</v>
      </c>
      <c r="D141">
        <v>6</v>
      </c>
      <c r="E141">
        <v>48.9</v>
      </c>
      <c r="F141">
        <v>0.15</v>
      </c>
      <c r="G141">
        <v>293.39999999999998</v>
      </c>
      <c r="H141" t="s">
        <v>117</v>
      </c>
    </row>
    <row r="142" spans="1:8">
      <c r="A142" s="72">
        <v>44248</v>
      </c>
      <c r="B142" t="s">
        <v>50</v>
      </c>
      <c r="C142" t="s">
        <v>12</v>
      </c>
      <c r="D142">
        <v>6</v>
      </c>
      <c r="E142">
        <v>299.89999999999998</v>
      </c>
      <c r="F142">
        <v>0.2</v>
      </c>
      <c r="G142">
        <v>1799.4</v>
      </c>
      <c r="H142" t="s">
        <v>116</v>
      </c>
    </row>
    <row r="143" spans="1:8">
      <c r="A143" s="72">
        <v>44251</v>
      </c>
      <c r="B143" t="s">
        <v>46</v>
      </c>
      <c r="C143" t="s">
        <v>12</v>
      </c>
      <c r="D143">
        <v>9</v>
      </c>
      <c r="E143">
        <v>25.9</v>
      </c>
      <c r="F143">
        <v>0.2</v>
      </c>
      <c r="G143">
        <v>233.1</v>
      </c>
      <c r="H143" t="s">
        <v>116</v>
      </c>
    </row>
    <row r="144" spans="1:8">
      <c r="A144" s="72">
        <v>44252</v>
      </c>
      <c r="B144" t="s">
        <v>97</v>
      </c>
      <c r="C144" t="s">
        <v>12</v>
      </c>
      <c r="D144">
        <v>8</v>
      </c>
      <c r="E144">
        <v>32.9</v>
      </c>
      <c r="F144">
        <v>0.2</v>
      </c>
      <c r="G144">
        <v>263.2</v>
      </c>
      <c r="H144" t="s">
        <v>116</v>
      </c>
    </row>
    <row r="145" spans="1:8">
      <c r="A145" s="72">
        <v>44253</v>
      </c>
      <c r="B145" t="s">
        <v>43</v>
      </c>
      <c r="C145" t="s">
        <v>12</v>
      </c>
      <c r="D145">
        <v>9</v>
      </c>
      <c r="E145">
        <v>39.9</v>
      </c>
      <c r="F145">
        <v>0.15</v>
      </c>
      <c r="G145">
        <v>359.1</v>
      </c>
      <c r="H145" t="s">
        <v>117</v>
      </c>
    </row>
    <row r="146" spans="1:8">
      <c r="A146" s="72">
        <v>44256</v>
      </c>
      <c r="B146" t="s">
        <v>32</v>
      </c>
      <c r="C146" t="s">
        <v>12</v>
      </c>
      <c r="D146">
        <v>9</v>
      </c>
      <c r="E146">
        <v>69.900000000000006</v>
      </c>
      <c r="F146">
        <v>0.15</v>
      </c>
      <c r="G146">
        <v>629.1</v>
      </c>
      <c r="H146" t="s">
        <v>114</v>
      </c>
    </row>
    <row r="147" spans="1:8">
      <c r="A147" s="72">
        <v>44256</v>
      </c>
      <c r="B147" t="s">
        <v>35</v>
      </c>
      <c r="C147" t="s">
        <v>13</v>
      </c>
      <c r="D147">
        <v>1</v>
      </c>
      <c r="E147">
        <v>259.89999999999998</v>
      </c>
      <c r="F147">
        <v>0</v>
      </c>
      <c r="G147">
        <v>259.89999999999998</v>
      </c>
      <c r="H147" t="s">
        <v>116</v>
      </c>
    </row>
    <row r="148" spans="1:8">
      <c r="A148" s="72">
        <v>44257</v>
      </c>
      <c r="B148" t="s">
        <v>37</v>
      </c>
      <c r="C148" t="s">
        <v>12</v>
      </c>
      <c r="D148">
        <v>1</v>
      </c>
      <c r="E148">
        <v>85.9</v>
      </c>
      <c r="F148">
        <v>0.1</v>
      </c>
      <c r="G148">
        <v>85.9</v>
      </c>
      <c r="H148" t="s">
        <v>115</v>
      </c>
    </row>
    <row r="149" spans="1:8">
      <c r="A149" s="72">
        <v>44258</v>
      </c>
      <c r="B149" t="s">
        <v>100</v>
      </c>
      <c r="C149" t="s">
        <v>12</v>
      </c>
      <c r="D149">
        <v>7</v>
      </c>
      <c r="E149">
        <v>49.9</v>
      </c>
      <c r="F149">
        <v>0.2</v>
      </c>
      <c r="G149">
        <v>349.3</v>
      </c>
      <c r="H149" t="s">
        <v>113</v>
      </c>
    </row>
    <row r="150" spans="1:8">
      <c r="A150" s="72">
        <v>44259</v>
      </c>
      <c r="B150" t="s">
        <v>43</v>
      </c>
      <c r="C150" t="s">
        <v>12</v>
      </c>
      <c r="D150">
        <v>4</v>
      </c>
      <c r="E150">
        <v>39.9</v>
      </c>
      <c r="F150">
        <v>0.1</v>
      </c>
      <c r="G150">
        <v>159.6</v>
      </c>
      <c r="H150" t="s">
        <v>115</v>
      </c>
    </row>
    <row r="151" spans="1:8">
      <c r="A151" s="72">
        <v>44264</v>
      </c>
      <c r="B151" t="s">
        <v>97</v>
      </c>
      <c r="C151" t="s">
        <v>12</v>
      </c>
      <c r="D151">
        <v>5</v>
      </c>
      <c r="E151">
        <v>32.9</v>
      </c>
      <c r="F151">
        <v>0.2</v>
      </c>
      <c r="G151">
        <v>164.5</v>
      </c>
      <c r="H151" t="s">
        <v>113</v>
      </c>
    </row>
    <row r="152" spans="1:8">
      <c r="A152" s="72">
        <v>44269</v>
      </c>
      <c r="B152" t="s">
        <v>39</v>
      </c>
      <c r="C152" t="s">
        <v>12</v>
      </c>
      <c r="D152">
        <v>8</v>
      </c>
      <c r="E152">
        <v>92.9</v>
      </c>
      <c r="F152">
        <v>0.2</v>
      </c>
      <c r="G152">
        <v>743.2</v>
      </c>
      <c r="H152" t="s">
        <v>113</v>
      </c>
    </row>
    <row r="153" spans="1:8">
      <c r="A153" s="72">
        <v>44274</v>
      </c>
      <c r="B153" t="s">
        <v>43</v>
      </c>
      <c r="C153" t="s">
        <v>12</v>
      </c>
      <c r="D153">
        <v>9</v>
      </c>
      <c r="E153">
        <v>39.9</v>
      </c>
      <c r="F153">
        <v>0.2</v>
      </c>
      <c r="G153">
        <v>359.1</v>
      </c>
      <c r="H153" t="s">
        <v>116</v>
      </c>
    </row>
    <row r="154" spans="1:8">
      <c r="A154" s="72">
        <v>44276</v>
      </c>
      <c r="B154" t="s">
        <v>42</v>
      </c>
      <c r="C154" t="s">
        <v>12</v>
      </c>
      <c r="D154">
        <v>9</v>
      </c>
      <c r="E154">
        <v>48.9</v>
      </c>
      <c r="F154">
        <v>0.1</v>
      </c>
      <c r="G154">
        <v>440.1</v>
      </c>
      <c r="H154" t="s">
        <v>115</v>
      </c>
    </row>
    <row r="155" spans="1:8">
      <c r="A155" s="72">
        <v>44280</v>
      </c>
      <c r="B155" t="s">
        <v>53</v>
      </c>
      <c r="C155" t="s">
        <v>12</v>
      </c>
      <c r="D155">
        <v>1</v>
      </c>
      <c r="E155">
        <v>249.9</v>
      </c>
      <c r="F155">
        <v>0.1</v>
      </c>
      <c r="G155">
        <v>249.9</v>
      </c>
      <c r="H155" t="s">
        <v>117</v>
      </c>
    </row>
    <row r="156" spans="1:8">
      <c r="A156" s="72">
        <v>44288</v>
      </c>
      <c r="B156" t="s">
        <v>53</v>
      </c>
      <c r="C156" t="s">
        <v>12</v>
      </c>
      <c r="D156">
        <v>10</v>
      </c>
      <c r="E156">
        <v>249.9</v>
      </c>
      <c r="F156">
        <v>0.15</v>
      </c>
      <c r="G156">
        <v>2499</v>
      </c>
      <c r="H156" t="s">
        <v>114</v>
      </c>
    </row>
    <row r="157" spans="1:8">
      <c r="A157" s="72">
        <v>44290</v>
      </c>
      <c r="B157" t="s">
        <v>47</v>
      </c>
      <c r="C157" t="s">
        <v>12</v>
      </c>
      <c r="D157">
        <v>4</v>
      </c>
      <c r="E157">
        <v>29.9</v>
      </c>
      <c r="F157">
        <v>0.15</v>
      </c>
      <c r="G157">
        <v>119.6</v>
      </c>
      <c r="H157" t="s">
        <v>117</v>
      </c>
    </row>
    <row r="158" spans="1:8">
      <c r="A158" s="72">
        <v>44294</v>
      </c>
      <c r="B158" t="s">
        <v>86</v>
      </c>
      <c r="C158" t="s">
        <v>12</v>
      </c>
      <c r="D158">
        <v>1</v>
      </c>
      <c r="E158">
        <v>72.5</v>
      </c>
      <c r="F158">
        <v>0.1</v>
      </c>
      <c r="G158">
        <v>72.5</v>
      </c>
      <c r="H158" t="s">
        <v>114</v>
      </c>
    </row>
    <row r="159" spans="1:8">
      <c r="A159" s="72">
        <v>44297</v>
      </c>
      <c r="B159" t="s">
        <v>69</v>
      </c>
      <c r="C159" t="s">
        <v>12</v>
      </c>
      <c r="D159">
        <v>10</v>
      </c>
      <c r="E159">
        <v>146</v>
      </c>
      <c r="F159">
        <v>0.15</v>
      </c>
      <c r="G159">
        <v>1460</v>
      </c>
      <c r="H159" t="s">
        <v>117</v>
      </c>
    </row>
    <row r="160" spans="1:8">
      <c r="A160" s="72">
        <v>44298</v>
      </c>
      <c r="B160" t="s">
        <v>33</v>
      </c>
      <c r="C160" t="s">
        <v>12</v>
      </c>
      <c r="D160">
        <v>5</v>
      </c>
      <c r="E160">
        <v>70.900000000000006</v>
      </c>
      <c r="F160">
        <v>0.15</v>
      </c>
      <c r="G160">
        <v>354.5</v>
      </c>
      <c r="H160" t="s">
        <v>114</v>
      </c>
    </row>
    <row r="161" spans="1:8">
      <c r="A161" s="72">
        <v>44299</v>
      </c>
      <c r="B161" t="s">
        <v>102</v>
      </c>
      <c r="C161" t="s">
        <v>14</v>
      </c>
      <c r="D161">
        <v>11</v>
      </c>
      <c r="E161">
        <v>89.9</v>
      </c>
      <c r="F161">
        <v>0.2</v>
      </c>
      <c r="G161">
        <v>988.9</v>
      </c>
      <c r="H161" t="s">
        <v>113</v>
      </c>
    </row>
    <row r="162" spans="1:8">
      <c r="A162" s="72">
        <v>44301</v>
      </c>
      <c r="B162" t="s">
        <v>37</v>
      </c>
      <c r="C162" t="s">
        <v>12</v>
      </c>
      <c r="D162">
        <v>6</v>
      </c>
      <c r="E162">
        <v>85.9</v>
      </c>
      <c r="F162">
        <v>0.15</v>
      </c>
      <c r="G162">
        <v>515.4</v>
      </c>
      <c r="H162" t="s">
        <v>117</v>
      </c>
    </row>
    <row r="163" spans="1:8">
      <c r="A163" s="72">
        <v>44308</v>
      </c>
      <c r="B163" t="s">
        <v>67</v>
      </c>
      <c r="C163" t="s">
        <v>12</v>
      </c>
      <c r="D163">
        <v>2</v>
      </c>
      <c r="E163">
        <v>140</v>
      </c>
      <c r="F163">
        <v>0.1</v>
      </c>
      <c r="G163">
        <v>280</v>
      </c>
      <c r="H163" t="s">
        <v>115</v>
      </c>
    </row>
    <row r="164" spans="1:8">
      <c r="A164" s="72">
        <v>44309</v>
      </c>
      <c r="B164" t="s">
        <v>88</v>
      </c>
      <c r="C164" t="s">
        <v>12</v>
      </c>
      <c r="D164">
        <v>7</v>
      </c>
      <c r="E164">
        <v>72.5</v>
      </c>
      <c r="F164">
        <v>0.15</v>
      </c>
      <c r="G164">
        <v>507.5</v>
      </c>
      <c r="H164" t="s">
        <v>114</v>
      </c>
    </row>
    <row r="165" spans="1:8">
      <c r="A165" s="72">
        <v>44312</v>
      </c>
      <c r="B165" t="s">
        <v>100</v>
      </c>
      <c r="C165" t="s">
        <v>12</v>
      </c>
      <c r="D165">
        <v>12</v>
      </c>
      <c r="E165">
        <v>49.9</v>
      </c>
      <c r="F165">
        <v>0.15</v>
      </c>
      <c r="G165">
        <v>598.79999999999995</v>
      </c>
      <c r="H165" t="s">
        <v>114</v>
      </c>
    </row>
    <row r="166" spans="1:8">
      <c r="A166" s="72">
        <v>44313</v>
      </c>
      <c r="B166" t="s">
        <v>43</v>
      </c>
      <c r="C166" t="s">
        <v>12</v>
      </c>
      <c r="D166">
        <v>7</v>
      </c>
      <c r="E166">
        <v>39.9</v>
      </c>
      <c r="F166">
        <v>0.15</v>
      </c>
      <c r="G166">
        <v>279.3</v>
      </c>
      <c r="H166" t="s">
        <v>117</v>
      </c>
    </row>
    <row r="167" spans="1:8">
      <c r="A167" s="72">
        <v>44324</v>
      </c>
      <c r="B167" t="s">
        <v>101</v>
      </c>
      <c r="C167" t="s">
        <v>12</v>
      </c>
      <c r="D167">
        <v>6</v>
      </c>
      <c r="E167">
        <v>49.9</v>
      </c>
      <c r="F167">
        <v>0.15</v>
      </c>
      <c r="G167">
        <v>299.39999999999998</v>
      </c>
      <c r="H167" t="s">
        <v>114</v>
      </c>
    </row>
    <row r="168" spans="1:8">
      <c r="A168" s="72">
        <v>44325</v>
      </c>
      <c r="B168" t="s">
        <v>65</v>
      </c>
      <c r="C168" t="s">
        <v>12</v>
      </c>
      <c r="D168">
        <v>11</v>
      </c>
      <c r="E168">
        <v>91.4</v>
      </c>
      <c r="F168">
        <v>0.2</v>
      </c>
      <c r="G168">
        <v>1005.4</v>
      </c>
      <c r="H168" t="s">
        <v>116</v>
      </c>
    </row>
    <row r="169" spans="1:8">
      <c r="A169" s="72">
        <v>44326</v>
      </c>
      <c r="B169" t="s">
        <v>35</v>
      </c>
      <c r="C169" t="s">
        <v>13</v>
      </c>
      <c r="D169">
        <v>11</v>
      </c>
      <c r="E169">
        <v>259.89999999999998</v>
      </c>
      <c r="F169">
        <v>0.2</v>
      </c>
      <c r="G169">
        <v>2858.9</v>
      </c>
      <c r="H169" t="s">
        <v>116</v>
      </c>
    </row>
    <row r="170" spans="1:8">
      <c r="A170" s="72">
        <v>44327</v>
      </c>
      <c r="B170" t="s">
        <v>69</v>
      </c>
      <c r="C170" t="s">
        <v>12</v>
      </c>
      <c r="D170">
        <v>3</v>
      </c>
      <c r="E170">
        <v>146</v>
      </c>
      <c r="F170">
        <v>0.15</v>
      </c>
      <c r="G170">
        <v>438</v>
      </c>
      <c r="H170" t="s">
        <v>117</v>
      </c>
    </row>
    <row r="171" spans="1:8">
      <c r="A171" s="72">
        <v>44328</v>
      </c>
      <c r="B171" t="s">
        <v>94</v>
      </c>
      <c r="C171" t="s">
        <v>12</v>
      </c>
      <c r="D171">
        <v>8</v>
      </c>
      <c r="E171">
        <v>32.9</v>
      </c>
      <c r="F171">
        <v>0.15</v>
      </c>
      <c r="G171">
        <v>263.2</v>
      </c>
      <c r="H171" t="s">
        <v>117</v>
      </c>
    </row>
    <row r="172" spans="1:8">
      <c r="A172" s="72">
        <v>44331</v>
      </c>
      <c r="B172" t="s">
        <v>55</v>
      </c>
      <c r="C172" t="s">
        <v>12</v>
      </c>
      <c r="D172">
        <v>11</v>
      </c>
      <c r="E172">
        <v>299.89999999999998</v>
      </c>
      <c r="F172">
        <v>0.15</v>
      </c>
      <c r="G172">
        <v>3298.9</v>
      </c>
      <c r="H172" t="s">
        <v>114</v>
      </c>
    </row>
    <row r="173" spans="1:8">
      <c r="A173" s="72">
        <v>44334</v>
      </c>
      <c r="B173" t="s">
        <v>61</v>
      </c>
      <c r="C173" t="s">
        <v>14</v>
      </c>
      <c r="D173">
        <v>8</v>
      </c>
      <c r="E173">
        <v>245</v>
      </c>
      <c r="F173">
        <v>0.2</v>
      </c>
      <c r="G173">
        <v>1960</v>
      </c>
      <c r="H173" t="s">
        <v>116</v>
      </c>
    </row>
    <row r="174" spans="1:8">
      <c r="A174" s="72">
        <v>44354</v>
      </c>
      <c r="B174" t="s">
        <v>62</v>
      </c>
      <c r="C174" t="s">
        <v>14</v>
      </c>
      <c r="D174">
        <v>6</v>
      </c>
      <c r="E174">
        <v>250</v>
      </c>
      <c r="F174">
        <v>0.15</v>
      </c>
      <c r="G174">
        <v>1500</v>
      </c>
      <c r="H174" t="s">
        <v>114</v>
      </c>
    </row>
    <row r="175" spans="1:8">
      <c r="A175" s="72">
        <v>44354</v>
      </c>
      <c r="B175" t="s">
        <v>41</v>
      </c>
      <c r="C175" t="s">
        <v>12</v>
      </c>
      <c r="D175">
        <v>2</v>
      </c>
      <c r="E175">
        <v>46.9</v>
      </c>
      <c r="F175">
        <v>0.15</v>
      </c>
      <c r="G175">
        <v>93.8</v>
      </c>
      <c r="H175" t="s">
        <v>113</v>
      </c>
    </row>
    <row r="176" spans="1:8">
      <c r="A176" s="72">
        <v>44356</v>
      </c>
      <c r="B176" t="s">
        <v>67</v>
      </c>
      <c r="C176" t="s">
        <v>12</v>
      </c>
      <c r="D176">
        <v>1</v>
      </c>
      <c r="E176">
        <v>140</v>
      </c>
      <c r="F176">
        <v>0.1</v>
      </c>
      <c r="G176">
        <v>140</v>
      </c>
      <c r="H176" t="s">
        <v>116</v>
      </c>
    </row>
    <row r="177" spans="1:8">
      <c r="A177" s="72">
        <v>44356</v>
      </c>
      <c r="B177" t="s">
        <v>101</v>
      </c>
      <c r="C177" t="s">
        <v>12</v>
      </c>
      <c r="D177">
        <v>1</v>
      </c>
      <c r="E177">
        <v>49.9</v>
      </c>
      <c r="F177">
        <v>0.1</v>
      </c>
      <c r="G177">
        <v>49.9</v>
      </c>
      <c r="H177" t="s">
        <v>116</v>
      </c>
    </row>
    <row r="178" spans="1:8">
      <c r="A178" s="72">
        <v>44358</v>
      </c>
      <c r="B178" t="s">
        <v>103</v>
      </c>
      <c r="C178" t="s">
        <v>14</v>
      </c>
      <c r="D178">
        <v>5</v>
      </c>
      <c r="E178">
        <v>89.9</v>
      </c>
      <c r="F178">
        <v>0.15</v>
      </c>
      <c r="G178">
        <v>449.5</v>
      </c>
      <c r="H178" t="s">
        <v>114</v>
      </c>
    </row>
    <row r="179" spans="1:8">
      <c r="A179" s="72">
        <v>44360</v>
      </c>
      <c r="B179" t="s">
        <v>65</v>
      </c>
      <c r="C179" t="s">
        <v>12</v>
      </c>
      <c r="D179">
        <v>11</v>
      </c>
      <c r="E179">
        <v>91.4</v>
      </c>
      <c r="F179">
        <v>0.15</v>
      </c>
      <c r="G179">
        <v>1005.4</v>
      </c>
      <c r="H179" t="s">
        <v>114</v>
      </c>
    </row>
    <row r="180" spans="1:8">
      <c r="A180" s="72">
        <v>44363</v>
      </c>
      <c r="B180" t="s">
        <v>47</v>
      </c>
      <c r="C180" t="s">
        <v>12</v>
      </c>
      <c r="D180">
        <v>11</v>
      </c>
      <c r="E180">
        <v>29.9</v>
      </c>
      <c r="F180">
        <v>0.2</v>
      </c>
      <c r="G180">
        <v>328.9</v>
      </c>
      <c r="H180" t="s">
        <v>116</v>
      </c>
    </row>
    <row r="181" spans="1:8">
      <c r="A181" s="72">
        <v>44363</v>
      </c>
      <c r="B181" t="s">
        <v>98</v>
      </c>
      <c r="C181" t="s">
        <v>12</v>
      </c>
      <c r="D181">
        <v>12</v>
      </c>
      <c r="E181">
        <v>49.9</v>
      </c>
      <c r="F181">
        <v>0.15</v>
      </c>
      <c r="G181">
        <v>598.79999999999995</v>
      </c>
      <c r="H181" t="s">
        <v>114</v>
      </c>
    </row>
    <row r="182" spans="1:8">
      <c r="A182" s="72">
        <v>44364</v>
      </c>
      <c r="B182" t="s">
        <v>56</v>
      </c>
      <c r="C182" t="s">
        <v>13</v>
      </c>
      <c r="D182">
        <v>9</v>
      </c>
      <c r="E182">
        <v>349.9</v>
      </c>
      <c r="F182">
        <v>0.2</v>
      </c>
      <c r="G182">
        <v>3149.1</v>
      </c>
      <c r="H182" t="s">
        <v>113</v>
      </c>
    </row>
    <row r="183" spans="1:8">
      <c r="A183" s="72">
        <v>44367</v>
      </c>
      <c r="B183" t="s">
        <v>100</v>
      </c>
      <c r="C183" t="s">
        <v>12</v>
      </c>
      <c r="D183">
        <v>4</v>
      </c>
      <c r="E183">
        <v>49.9</v>
      </c>
      <c r="F183">
        <v>0.15</v>
      </c>
      <c r="G183">
        <v>199.6</v>
      </c>
      <c r="H183" t="s">
        <v>114</v>
      </c>
    </row>
    <row r="184" spans="1:8">
      <c r="A184" s="72">
        <v>44375</v>
      </c>
      <c r="B184" t="s">
        <v>110</v>
      </c>
      <c r="C184" t="s">
        <v>12</v>
      </c>
      <c r="D184">
        <v>6</v>
      </c>
      <c r="E184">
        <v>180</v>
      </c>
      <c r="F184">
        <v>0.2</v>
      </c>
      <c r="G184">
        <v>1080</v>
      </c>
      <c r="H184" t="s">
        <v>113</v>
      </c>
    </row>
    <row r="185" spans="1:8">
      <c r="A185" s="72">
        <v>44375</v>
      </c>
      <c r="B185" t="s">
        <v>47</v>
      </c>
      <c r="C185" t="s">
        <v>12</v>
      </c>
      <c r="D185">
        <v>12</v>
      </c>
      <c r="E185">
        <v>29.9</v>
      </c>
      <c r="F185">
        <v>0.2</v>
      </c>
      <c r="G185">
        <v>358.8</v>
      </c>
      <c r="H185" t="s">
        <v>113</v>
      </c>
    </row>
    <row r="186" spans="1:8">
      <c r="A186" s="72">
        <v>44376</v>
      </c>
      <c r="B186" t="s">
        <v>36</v>
      </c>
      <c r="C186" t="s">
        <v>13</v>
      </c>
      <c r="D186">
        <v>9</v>
      </c>
      <c r="E186">
        <v>39.9</v>
      </c>
      <c r="F186">
        <v>0.2</v>
      </c>
      <c r="G186">
        <v>359.1</v>
      </c>
      <c r="H186" t="s">
        <v>116</v>
      </c>
    </row>
    <row r="187" spans="1:8">
      <c r="A187" s="72">
        <v>44377</v>
      </c>
      <c r="B187" t="s">
        <v>69</v>
      </c>
      <c r="C187" t="s">
        <v>12</v>
      </c>
      <c r="D187">
        <v>1</v>
      </c>
      <c r="E187">
        <v>146</v>
      </c>
      <c r="F187">
        <v>0.1</v>
      </c>
      <c r="G187">
        <v>146</v>
      </c>
      <c r="H187" t="s">
        <v>117</v>
      </c>
    </row>
    <row r="188" spans="1:8">
      <c r="A188" s="72">
        <v>44382</v>
      </c>
      <c r="B188" t="s">
        <v>92</v>
      </c>
      <c r="C188" t="s">
        <v>12</v>
      </c>
      <c r="D188">
        <v>1</v>
      </c>
      <c r="E188">
        <v>289.89999999999998</v>
      </c>
      <c r="F188">
        <v>0.1</v>
      </c>
      <c r="G188">
        <v>289.89999999999998</v>
      </c>
      <c r="H188" t="s">
        <v>113</v>
      </c>
    </row>
    <row r="189" spans="1:8">
      <c r="A189" s="72">
        <v>44383</v>
      </c>
      <c r="B189" t="s">
        <v>36</v>
      </c>
      <c r="C189" t="s">
        <v>13</v>
      </c>
      <c r="D189">
        <v>6</v>
      </c>
      <c r="E189">
        <v>39.9</v>
      </c>
      <c r="F189">
        <v>0.15</v>
      </c>
      <c r="G189">
        <v>239.4</v>
      </c>
      <c r="H189" t="s">
        <v>114</v>
      </c>
    </row>
    <row r="190" spans="1:8">
      <c r="A190" s="72">
        <v>44384</v>
      </c>
      <c r="B190" t="s">
        <v>65</v>
      </c>
      <c r="C190" t="s">
        <v>12</v>
      </c>
      <c r="D190">
        <v>9</v>
      </c>
      <c r="E190">
        <v>91.4</v>
      </c>
      <c r="F190">
        <v>0.1</v>
      </c>
      <c r="G190">
        <v>822.6</v>
      </c>
      <c r="H190" t="s">
        <v>115</v>
      </c>
    </row>
    <row r="191" spans="1:8">
      <c r="A191" s="72">
        <v>44389</v>
      </c>
      <c r="B191" t="s">
        <v>86</v>
      </c>
      <c r="C191" t="s">
        <v>12</v>
      </c>
      <c r="D191">
        <v>8</v>
      </c>
      <c r="E191">
        <v>72.5</v>
      </c>
      <c r="F191">
        <v>0.15</v>
      </c>
      <c r="G191">
        <v>580</v>
      </c>
      <c r="H191" t="s">
        <v>117</v>
      </c>
    </row>
    <row r="192" spans="1:8">
      <c r="A192" s="72">
        <v>44390</v>
      </c>
      <c r="B192" t="s">
        <v>69</v>
      </c>
      <c r="C192" t="s">
        <v>12</v>
      </c>
      <c r="D192">
        <v>5</v>
      </c>
      <c r="E192">
        <v>146</v>
      </c>
      <c r="F192">
        <v>0.15</v>
      </c>
      <c r="G192">
        <v>730</v>
      </c>
      <c r="H192" t="s">
        <v>117</v>
      </c>
    </row>
    <row r="193" spans="1:8">
      <c r="A193" s="72">
        <v>44394</v>
      </c>
      <c r="B193" t="s">
        <v>62</v>
      </c>
      <c r="C193" t="s">
        <v>14</v>
      </c>
      <c r="D193">
        <v>3</v>
      </c>
      <c r="E193">
        <v>250</v>
      </c>
      <c r="F193">
        <v>0.15</v>
      </c>
      <c r="G193">
        <v>750</v>
      </c>
      <c r="H193" t="s">
        <v>114</v>
      </c>
    </row>
    <row r="194" spans="1:8">
      <c r="A194" s="72">
        <v>44400</v>
      </c>
      <c r="B194" t="s">
        <v>54</v>
      </c>
      <c r="C194" t="s">
        <v>12</v>
      </c>
      <c r="D194">
        <v>3</v>
      </c>
      <c r="E194">
        <v>259.89999999999998</v>
      </c>
      <c r="F194">
        <v>0.1</v>
      </c>
      <c r="G194">
        <v>779.7</v>
      </c>
      <c r="H194" t="s">
        <v>115</v>
      </c>
    </row>
    <row r="195" spans="1:8">
      <c r="A195" s="72">
        <v>44403</v>
      </c>
      <c r="B195" t="s">
        <v>96</v>
      </c>
      <c r="C195" t="s">
        <v>12</v>
      </c>
      <c r="D195">
        <v>8</v>
      </c>
      <c r="E195">
        <v>32.9</v>
      </c>
      <c r="F195">
        <v>0.15</v>
      </c>
      <c r="G195">
        <v>263.2</v>
      </c>
      <c r="H195" t="s">
        <v>117</v>
      </c>
    </row>
    <row r="196" spans="1:8">
      <c r="A196" s="72">
        <v>44405</v>
      </c>
      <c r="B196" t="s">
        <v>102</v>
      </c>
      <c r="C196" t="s">
        <v>14</v>
      </c>
      <c r="D196">
        <v>7</v>
      </c>
      <c r="E196">
        <v>89.9</v>
      </c>
      <c r="F196">
        <v>0.2</v>
      </c>
      <c r="G196">
        <v>629.29999999999995</v>
      </c>
      <c r="H196" t="s">
        <v>113</v>
      </c>
    </row>
    <row r="197" spans="1:8">
      <c r="A197" s="72">
        <v>44406</v>
      </c>
      <c r="B197" t="s">
        <v>62</v>
      </c>
      <c r="C197" t="s">
        <v>14</v>
      </c>
      <c r="D197">
        <v>8</v>
      </c>
      <c r="E197">
        <v>250</v>
      </c>
      <c r="F197">
        <v>0.1</v>
      </c>
      <c r="G197">
        <v>2000</v>
      </c>
      <c r="H197" t="s">
        <v>115</v>
      </c>
    </row>
    <row r="198" spans="1:8">
      <c r="A198" s="72">
        <v>44407</v>
      </c>
      <c r="B198" t="s">
        <v>100</v>
      </c>
      <c r="C198" t="s">
        <v>12</v>
      </c>
      <c r="D198">
        <v>9</v>
      </c>
      <c r="E198">
        <v>49.9</v>
      </c>
      <c r="F198">
        <v>0.15</v>
      </c>
      <c r="G198">
        <v>449.1</v>
      </c>
      <c r="H198" t="s">
        <v>114</v>
      </c>
    </row>
    <row r="199" spans="1:8">
      <c r="A199" s="72">
        <v>44413</v>
      </c>
      <c r="B199" t="s">
        <v>65</v>
      </c>
      <c r="C199" t="s">
        <v>12</v>
      </c>
      <c r="D199">
        <v>3</v>
      </c>
      <c r="E199">
        <v>91.4</v>
      </c>
      <c r="F199">
        <v>0.1</v>
      </c>
      <c r="G199">
        <v>274.2</v>
      </c>
      <c r="H199" t="s">
        <v>115</v>
      </c>
    </row>
    <row r="200" spans="1:8">
      <c r="A200" s="72">
        <v>44414</v>
      </c>
      <c r="B200" t="s">
        <v>92</v>
      </c>
      <c r="C200" t="s">
        <v>12</v>
      </c>
      <c r="D200">
        <v>12</v>
      </c>
      <c r="E200">
        <v>289.89999999999998</v>
      </c>
      <c r="F200">
        <v>0.15</v>
      </c>
      <c r="G200">
        <v>3478.8</v>
      </c>
      <c r="H200" t="s">
        <v>114</v>
      </c>
    </row>
    <row r="201" spans="1:8">
      <c r="A201" s="72">
        <v>44415</v>
      </c>
      <c r="B201" t="s">
        <v>58</v>
      </c>
      <c r="C201" t="s">
        <v>14</v>
      </c>
      <c r="D201">
        <v>1</v>
      </c>
      <c r="E201">
        <v>249.9</v>
      </c>
      <c r="F201">
        <v>0</v>
      </c>
      <c r="G201">
        <v>249.9</v>
      </c>
      <c r="H201" t="s">
        <v>117</v>
      </c>
    </row>
    <row r="202" spans="1:8">
      <c r="A202" s="72">
        <v>44416</v>
      </c>
      <c r="B202" t="s">
        <v>109</v>
      </c>
      <c r="C202" t="s">
        <v>12</v>
      </c>
      <c r="D202">
        <v>3</v>
      </c>
      <c r="E202">
        <v>180</v>
      </c>
      <c r="F202">
        <v>0.15</v>
      </c>
      <c r="G202">
        <v>540</v>
      </c>
      <c r="H202" t="s">
        <v>117</v>
      </c>
    </row>
    <row r="203" spans="1:8">
      <c r="A203" s="72">
        <v>44417</v>
      </c>
      <c r="B203" t="s">
        <v>43</v>
      </c>
      <c r="C203" t="s">
        <v>12</v>
      </c>
      <c r="D203">
        <v>7</v>
      </c>
      <c r="E203">
        <v>39.9</v>
      </c>
      <c r="F203">
        <v>0.2</v>
      </c>
      <c r="G203">
        <v>279.3</v>
      </c>
      <c r="H203" t="s">
        <v>113</v>
      </c>
    </row>
    <row r="204" spans="1:8">
      <c r="A204" s="72">
        <v>44418</v>
      </c>
      <c r="B204" t="s">
        <v>92</v>
      </c>
      <c r="C204" t="s">
        <v>12</v>
      </c>
      <c r="D204">
        <v>7</v>
      </c>
      <c r="E204">
        <v>289.89999999999998</v>
      </c>
      <c r="F204">
        <v>0.1</v>
      </c>
      <c r="G204">
        <v>2029.3</v>
      </c>
      <c r="H204" t="s">
        <v>115</v>
      </c>
    </row>
    <row r="205" spans="1:8">
      <c r="A205" s="72">
        <v>44419</v>
      </c>
      <c r="B205" t="s">
        <v>65</v>
      </c>
      <c r="C205" t="s">
        <v>12</v>
      </c>
      <c r="D205">
        <v>11</v>
      </c>
      <c r="E205">
        <v>91.4</v>
      </c>
      <c r="F205">
        <v>0.15</v>
      </c>
      <c r="G205">
        <v>1005.4</v>
      </c>
      <c r="H205" t="s">
        <v>114</v>
      </c>
    </row>
    <row r="206" spans="1:8">
      <c r="A206" s="72">
        <v>44420</v>
      </c>
      <c r="B206" t="s">
        <v>103</v>
      </c>
      <c r="C206" t="s">
        <v>14</v>
      </c>
      <c r="D206">
        <v>6</v>
      </c>
      <c r="E206">
        <v>89.9</v>
      </c>
      <c r="F206">
        <v>0.15</v>
      </c>
      <c r="G206">
        <v>539.4</v>
      </c>
      <c r="H206" t="s">
        <v>117</v>
      </c>
    </row>
    <row r="207" spans="1:8">
      <c r="A207" s="72">
        <v>44421</v>
      </c>
      <c r="B207" t="s">
        <v>94</v>
      </c>
      <c r="C207" t="s">
        <v>12</v>
      </c>
      <c r="D207">
        <v>12</v>
      </c>
      <c r="E207">
        <v>32.9</v>
      </c>
      <c r="F207">
        <v>0.2</v>
      </c>
      <c r="G207">
        <v>394.8</v>
      </c>
      <c r="H207" t="s">
        <v>113</v>
      </c>
    </row>
    <row r="208" spans="1:8">
      <c r="A208" s="72">
        <v>44422</v>
      </c>
      <c r="B208" t="s">
        <v>61</v>
      </c>
      <c r="C208" t="s">
        <v>14</v>
      </c>
      <c r="D208">
        <v>12</v>
      </c>
      <c r="E208">
        <v>245</v>
      </c>
      <c r="F208">
        <v>0.15</v>
      </c>
      <c r="G208">
        <v>2940</v>
      </c>
      <c r="H208" t="s">
        <v>117</v>
      </c>
    </row>
    <row r="209" spans="1:8">
      <c r="A209" s="72">
        <v>44423</v>
      </c>
      <c r="B209" t="s">
        <v>38</v>
      </c>
      <c r="C209" t="s">
        <v>12</v>
      </c>
      <c r="D209">
        <v>3</v>
      </c>
      <c r="E209">
        <v>89.9</v>
      </c>
      <c r="F209">
        <v>0.1</v>
      </c>
      <c r="G209">
        <v>269.7</v>
      </c>
      <c r="H209" t="s">
        <v>115</v>
      </c>
    </row>
    <row r="210" spans="1:8">
      <c r="A210" s="72">
        <v>44444</v>
      </c>
      <c r="B210" t="s">
        <v>45</v>
      </c>
      <c r="C210" t="s">
        <v>12</v>
      </c>
      <c r="D210">
        <v>11</v>
      </c>
      <c r="E210">
        <v>42.5</v>
      </c>
      <c r="F210">
        <v>0.15</v>
      </c>
      <c r="G210">
        <v>467.5</v>
      </c>
      <c r="H210" t="s">
        <v>117</v>
      </c>
    </row>
    <row r="211" spans="1:8">
      <c r="A211" s="72">
        <v>44445</v>
      </c>
      <c r="B211" t="s">
        <v>89</v>
      </c>
      <c r="C211" t="s">
        <v>12</v>
      </c>
      <c r="D211">
        <v>11</v>
      </c>
      <c r="E211">
        <v>72.5</v>
      </c>
      <c r="F211">
        <v>0.15</v>
      </c>
      <c r="G211">
        <v>797.5</v>
      </c>
      <c r="H211" t="s">
        <v>117</v>
      </c>
    </row>
    <row r="212" spans="1:8">
      <c r="A212" s="72">
        <v>44446</v>
      </c>
      <c r="B212" t="s">
        <v>66</v>
      </c>
      <c r="C212" t="s">
        <v>12</v>
      </c>
      <c r="D212">
        <v>4</v>
      </c>
      <c r="E212">
        <v>93.5</v>
      </c>
      <c r="F212">
        <v>0.15</v>
      </c>
      <c r="G212">
        <v>374</v>
      </c>
      <c r="H212" t="s">
        <v>114</v>
      </c>
    </row>
    <row r="213" spans="1:8">
      <c r="A213" s="72">
        <v>44447</v>
      </c>
      <c r="B213" t="s">
        <v>62</v>
      </c>
      <c r="C213" t="s">
        <v>14</v>
      </c>
      <c r="D213">
        <v>9</v>
      </c>
      <c r="E213">
        <v>250</v>
      </c>
      <c r="F213">
        <v>0.15</v>
      </c>
      <c r="G213">
        <v>2250</v>
      </c>
      <c r="H213" t="s">
        <v>117</v>
      </c>
    </row>
    <row r="214" spans="1:8">
      <c r="A214" s="72">
        <v>44448</v>
      </c>
      <c r="B214" t="s">
        <v>94</v>
      </c>
      <c r="C214" t="s">
        <v>12</v>
      </c>
      <c r="D214">
        <v>2</v>
      </c>
      <c r="E214">
        <v>32.9</v>
      </c>
      <c r="F214">
        <v>0.15</v>
      </c>
      <c r="G214">
        <v>65.8</v>
      </c>
      <c r="H214" t="s">
        <v>116</v>
      </c>
    </row>
    <row r="215" spans="1:8">
      <c r="A215" s="72">
        <v>44449</v>
      </c>
      <c r="B215" t="s">
        <v>50</v>
      </c>
      <c r="C215" t="s">
        <v>12</v>
      </c>
      <c r="D215">
        <v>5</v>
      </c>
      <c r="E215">
        <v>299.89999999999998</v>
      </c>
      <c r="F215">
        <v>0.15</v>
      </c>
      <c r="G215">
        <v>1499.5</v>
      </c>
      <c r="H215" t="s">
        <v>117</v>
      </c>
    </row>
    <row r="216" spans="1:8">
      <c r="A216" s="72">
        <v>44450</v>
      </c>
      <c r="B216" t="s">
        <v>33</v>
      </c>
      <c r="C216" t="s">
        <v>12</v>
      </c>
      <c r="D216">
        <v>10</v>
      </c>
      <c r="E216">
        <v>70.900000000000006</v>
      </c>
      <c r="F216">
        <v>0.2</v>
      </c>
      <c r="G216">
        <v>709</v>
      </c>
      <c r="H216" t="s">
        <v>116</v>
      </c>
    </row>
    <row r="217" spans="1:8">
      <c r="A217" s="72">
        <v>44451</v>
      </c>
      <c r="B217" t="s">
        <v>97</v>
      </c>
      <c r="C217" t="s">
        <v>12</v>
      </c>
      <c r="D217">
        <v>11</v>
      </c>
      <c r="E217">
        <v>32.9</v>
      </c>
      <c r="F217">
        <v>0.2</v>
      </c>
      <c r="G217">
        <v>361.9</v>
      </c>
      <c r="H217" t="s">
        <v>113</v>
      </c>
    </row>
    <row r="218" spans="1:8">
      <c r="A218" s="72">
        <v>44452</v>
      </c>
      <c r="B218" t="s">
        <v>32</v>
      </c>
      <c r="C218" t="s">
        <v>12</v>
      </c>
      <c r="D218">
        <v>9</v>
      </c>
      <c r="E218">
        <v>69.900000000000006</v>
      </c>
      <c r="F218">
        <v>0.2</v>
      </c>
      <c r="G218">
        <v>629.1</v>
      </c>
      <c r="H218" t="s">
        <v>113</v>
      </c>
    </row>
    <row r="219" spans="1:8">
      <c r="A219" s="72">
        <v>44453</v>
      </c>
      <c r="B219" t="s">
        <v>68</v>
      </c>
      <c r="C219" t="s">
        <v>12</v>
      </c>
      <c r="D219">
        <v>8</v>
      </c>
      <c r="E219">
        <v>142.9</v>
      </c>
      <c r="F219">
        <v>0.15</v>
      </c>
      <c r="G219">
        <v>1143.2</v>
      </c>
      <c r="H219" t="s">
        <v>117</v>
      </c>
    </row>
    <row r="220" spans="1:8">
      <c r="A220" s="72">
        <v>44454</v>
      </c>
      <c r="B220" t="s">
        <v>35</v>
      </c>
      <c r="C220" t="s">
        <v>13</v>
      </c>
      <c r="D220">
        <v>1</v>
      </c>
      <c r="E220">
        <v>259.89999999999998</v>
      </c>
      <c r="F220">
        <v>0</v>
      </c>
      <c r="G220">
        <v>259.89999999999998</v>
      </c>
      <c r="H220" t="s">
        <v>115</v>
      </c>
    </row>
    <row r="221" spans="1:8">
      <c r="A221" s="72">
        <v>44474</v>
      </c>
      <c r="B221" t="s">
        <v>100</v>
      </c>
      <c r="C221" t="s">
        <v>12</v>
      </c>
      <c r="D221">
        <v>10</v>
      </c>
      <c r="E221">
        <v>49.9</v>
      </c>
      <c r="F221">
        <v>0.1</v>
      </c>
      <c r="G221">
        <v>499</v>
      </c>
      <c r="H221" t="s">
        <v>115</v>
      </c>
    </row>
    <row r="222" spans="1:8">
      <c r="A222" s="72">
        <v>44475</v>
      </c>
      <c r="B222" t="s">
        <v>90</v>
      </c>
      <c r="C222" t="s">
        <v>12</v>
      </c>
      <c r="D222">
        <v>2</v>
      </c>
      <c r="E222">
        <v>289.89999999999998</v>
      </c>
      <c r="F222">
        <v>0.1</v>
      </c>
      <c r="G222">
        <v>579.79999999999995</v>
      </c>
      <c r="H222" t="s">
        <v>115</v>
      </c>
    </row>
    <row r="223" spans="1:8">
      <c r="A223" s="72">
        <v>44476</v>
      </c>
      <c r="B223" t="s">
        <v>31</v>
      </c>
      <c r="C223" t="s">
        <v>12</v>
      </c>
      <c r="D223">
        <v>1</v>
      </c>
      <c r="E223">
        <v>65.900000000000006</v>
      </c>
      <c r="F223">
        <v>0.1</v>
      </c>
      <c r="G223">
        <v>65.900000000000006</v>
      </c>
      <c r="H223" t="s">
        <v>116</v>
      </c>
    </row>
    <row r="224" spans="1:8">
      <c r="A224" s="72">
        <v>44477</v>
      </c>
      <c r="B224" t="s">
        <v>54</v>
      </c>
      <c r="C224" t="s">
        <v>12</v>
      </c>
      <c r="D224">
        <v>7</v>
      </c>
      <c r="E224">
        <v>259.89999999999998</v>
      </c>
      <c r="F224">
        <v>0.1</v>
      </c>
      <c r="G224">
        <v>1819.3</v>
      </c>
      <c r="H224" t="s">
        <v>115</v>
      </c>
    </row>
    <row r="225" spans="1:8">
      <c r="A225" s="72">
        <v>44478</v>
      </c>
      <c r="B225" t="s">
        <v>41</v>
      </c>
      <c r="C225" t="s">
        <v>12</v>
      </c>
      <c r="D225">
        <v>11</v>
      </c>
      <c r="E225">
        <v>46.9</v>
      </c>
      <c r="F225">
        <v>0.2</v>
      </c>
      <c r="G225">
        <v>515.9</v>
      </c>
      <c r="H225" t="s">
        <v>113</v>
      </c>
    </row>
    <row r="226" spans="1:8">
      <c r="A226" s="72">
        <v>44479</v>
      </c>
      <c r="B226" t="s">
        <v>105</v>
      </c>
      <c r="C226" t="s">
        <v>14</v>
      </c>
      <c r="D226">
        <v>1</v>
      </c>
      <c r="E226">
        <v>89.9</v>
      </c>
      <c r="F226">
        <v>0</v>
      </c>
      <c r="G226">
        <v>89.9</v>
      </c>
      <c r="H226" t="s">
        <v>115</v>
      </c>
    </row>
    <row r="227" spans="1:8">
      <c r="A227" s="72">
        <v>44480</v>
      </c>
      <c r="B227" t="s">
        <v>68</v>
      </c>
      <c r="C227" t="s">
        <v>12</v>
      </c>
      <c r="D227">
        <v>9</v>
      </c>
      <c r="E227">
        <v>142.9</v>
      </c>
      <c r="F227">
        <v>0.2</v>
      </c>
      <c r="G227">
        <v>1286.0999999999999</v>
      </c>
      <c r="H227" t="s">
        <v>113</v>
      </c>
    </row>
    <row r="228" spans="1:8">
      <c r="A228" s="72">
        <v>44481</v>
      </c>
      <c r="B228" t="s">
        <v>88</v>
      </c>
      <c r="C228" t="s">
        <v>12</v>
      </c>
      <c r="D228">
        <v>4</v>
      </c>
      <c r="E228">
        <v>72.5</v>
      </c>
      <c r="F228">
        <v>0.1</v>
      </c>
      <c r="G228">
        <v>290</v>
      </c>
      <c r="H228" t="s">
        <v>115</v>
      </c>
    </row>
    <row r="229" spans="1:8">
      <c r="A229" s="72">
        <v>44482</v>
      </c>
      <c r="B229" t="s">
        <v>32</v>
      </c>
      <c r="C229" t="s">
        <v>12</v>
      </c>
      <c r="D229">
        <v>10</v>
      </c>
      <c r="E229">
        <v>69.900000000000006</v>
      </c>
      <c r="F229">
        <v>0.2</v>
      </c>
      <c r="G229">
        <v>699</v>
      </c>
      <c r="H229" t="s">
        <v>113</v>
      </c>
    </row>
    <row r="230" spans="1:8">
      <c r="A230" s="72">
        <v>44483</v>
      </c>
      <c r="B230" t="s">
        <v>40</v>
      </c>
      <c r="C230" t="s">
        <v>12</v>
      </c>
      <c r="D230">
        <v>2</v>
      </c>
      <c r="E230">
        <v>44.9</v>
      </c>
      <c r="F230">
        <v>0.15</v>
      </c>
      <c r="G230">
        <v>89.8</v>
      </c>
      <c r="H230" t="s">
        <v>113</v>
      </c>
    </row>
    <row r="231" spans="1:8">
      <c r="A231" s="72">
        <v>44484</v>
      </c>
      <c r="B231" t="s">
        <v>44</v>
      </c>
      <c r="C231" t="s">
        <v>12</v>
      </c>
      <c r="D231">
        <v>10</v>
      </c>
      <c r="E231">
        <v>39.9</v>
      </c>
      <c r="F231">
        <v>0.2</v>
      </c>
      <c r="G231">
        <v>399</v>
      </c>
      <c r="H231" t="s">
        <v>113</v>
      </c>
    </row>
    <row r="232" spans="1:8">
      <c r="A232" s="72">
        <v>44505</v>
      </c>
      <c r="B232" t="s">
        <v>89</v>
      </c>
      <c r="C232" t="s">
        <v>12</v>
      </c>
      <c r="D232">
        <v>1</v>
      </c>
      <c r="E232">
        <v>72.5</v>
      </c>
      <c r="F232">
        <v>0.1</v>
      </c>
      <c r="G232">
        <v>72.5</v>
      </c>
      <c r="H232" t="s">
        <v>113</v>
      </c>
    </row>
    <row r="233" spans="1:8">
      <c r="A233" s="72">
        <v>44506</v>
      </c>
      <c r="B233" t="s">
        <v>84</v>
      </c>
      <c r="C233" t="s">
        <v>12</v>
      </c>
      <c r="D233">
        <v>3</v>
      </c>
      <c r="E233">
        <v>54.9</v>
      </c>
      <c r="F233">
        <v>0.15</v>
      </c>
      <c r="G233">
        <v>164.7</v>
      </c>
      <c r="H233" t="s">
        <v>117</v>
      </c>
    </row>
    <row r="234" spans="1:8">
      <c r="A234" s="72">
        <v>44507</v>
      </c>
      <c r="B234" t="s">
        <v>89</v>
      </c>
      <c r="C234" t="s">
        <v>12</v>
      </c>
      <c r="D234">
        <v>4</v>
      </c>
      <c r="E234">
        <v>72.5</v>
      </c>
      <c r="F234">
        <v>0.2</v>
      </c>
      <c r="G234">
        <v>290</v>
      </c>
      <c r="H234" t="s">
        <v>116</v>
      </c>
    </row>
    <row r="235" spans="1:8">
      <c r="A235" s="72">
        <v>44508</v>
      </c>
      <c r="B235" t="s">
        <v>89</v>
      </c>
      <c r="C235" t="s">
        <v>12</v>
      </c>
      <c r="D235">
        <v>2</v>
      </c>
      <c r="E235">
        <v>72.5</v>
      </c>
      <c r="F235">
        <v>0.15</v>
      </c>
      <c r="G235">
        <v>145</v>
      </c>
      <c r="H235" t="s">
        <v>113</v>
      </c>
    </row>
    <row r="236" spans="1:8">
      <c r="A236" s="72">
        <v>44509</v>
      </c>
      <c r="B236" t="s">
        <v>38</v>
      </c>
      <c r="C236" t="s">
        <v>12</v>
      </c>
      <c r="D236">
        <v>3</v>
      </c>
      <c r="E236">
        <v>89.9</v>
      </c>
      <c r="F236">
        <v>0.15</v>
      </c>
      <c r="G236">
        <v>269.7</v>
      </c>
      <c r="H236" t="s">
        <v>117</v>
      </c>
    </row>
    <row r="237" spans="1:8">
      <c r="A237" s="72">
        <v>44510</v>
      </c>
      <c r="B237" t="s">
        <v>103</v>
      </c>
      <c r="C237" t="s">
        <v>14</v>
      </c>
      <c r="D237">
        <v>4</v>
      </c>
      <c r="E237">
        <v>89.9</v>
      </c>
      <c r="F237">
        <v>0.15</v>
      </c>
      <c r="G237">
        <v>359.6</v>
      </c>
      <c r="H237" t="s">
        <v>116</v>
      </c>
    </row>
    <row r="238" spans="1:8">
      <c r="A238" s="72">
        <v>44511</v>
      </c>
      <c r="B238" t="s">
        <v>83</v>
      </c>
      <c r="C238" t="s">
        <v>12</v>
      </c>
      <c r="D238">
        <v>9</v>
      </c>
      <c r="E238">
        <v>70</v>
      </c>
      <c r="F238">
        <v>0.15</v>
      </c>
      <c r="G238">
        <v>630</v>
      </c>
      <c r="H238" t="s">
        <v>114</v>
      </c>
    </row>
    <row r="239" spans="1:8">
      <c r="A239" s="72">
        <v>44512</v>
      </c>
      <c r="B239" t="s">
        <v>33</v>
      </c>
      <c r="C239" t="s">
        <v>12</v>
      </c>
      <c r="D239">
        <v>2</v>
      </c>
      <c r="E239">
        <v>70.900000000000006</v>
      </c>
      <c r="F239">
        <v>0.15</v>
      </c>
      <c r="G239">
        <v>141.80000000000001</v>
      </c>
      <c r="H239" t="s">
        <v>113</v>
      </c>
    </row>
    <row r="240" spans="1:8">
      <c r="A240" s="72">
        <v>44513</v>
      </c>
      <c r="B240" t="s">
        <v>38</v>
      </c>
      <c r="C240" t="s">
        <v>12</v>
      </c>
      <c r="D240">
        <v>3</v>
      </c>
      <c r="E240">
        <v>89.9</v>
      </c>
      <c r="F240">
        <v>0.15</v>
      </c>
      <c r="G240">
        <v>269.7</v>
      </c>
      <c r="H240" t="s">
        <v>114</v>
      </c>
    </row>
    <row r="241" spans="1:8">
      <c r="A241" s="72">
        <v>44514</v>
      </c>
      <c r="B241" t="s">
        <v>51</v>
      </c>
      <c r="C241" t="s">
        <v>12</v>
      </c>
      <c r="D241">
        <v>7</v>
      </c>
      <c r="E241">
        <v>302.89999999999998</v>
      </c>
      <c r="F241">
        <v>0.15</v>
      </c>
      <c r="G241">
        <v>2120.3000000000002</v>
      </c>
      <c r="H241" t="s">
        <v>117</v>
      </c>
    </row>
    <row r="242" spans="1:8">
      <c r="A242" s="72">
        <v>44515</v>
      </c>
      <c r="B242" t="s">
        <v>97</v>
      </c>
      <c r="C242" t="s">
        <v>12</v>
      </c>
      <c r="D242">
        <v>2</v>
      </c>
      <c r="E242">
        <v>32.9</v>
      </c>
      <c r="F242">
        <v>0.1</v>
      </c>
      <c r="G242">
        <v>65.8</v>
      </c>
      <c r="H242" t="s">
        <v>115</v>
      </c>
    </row>
    <row r="243" spans="1:8">
      <c r="A243" s="72">
        <v>44535</v>
      </c>
      <c r="B243" t="s">
        <v>110</v>
      </c>
      <c r="C243" t="s">
        <v>12</v>
      </c>
      <c r="D243">
        <v>3</v>
      </c>
      <c r="E243">
        <v>180</v>
      </c>
      <c r="F243">
        <v>0.1</v>
      </c>
      <c r="G243">
        <v>540</v>
      </c>
      <c r="H243" t="s">
        <v>115</v>
      </c>
    </row>
    <row r="244" spans="1:8">
      <c r="A244" s="72">
        <v>44536</v>
      </c>
      <c r="B244" t="s">
        <v>94</v>
      </c>
      <c r="C244" t="s">
        <v>12</v>
      </c>
      <c r="D244">
        <v>9</v>
      </c>
      <c r="E244">
        <v>32.9</v>
      </c>
      <c r="F244">
        <v>0.15</v>
      </c>
      <c r="G244">
        <v>296.10000000000002</v>
      </c>
      <c r="H244" t="s">
        <v>114</v>
      </c>
    </row>
    <row r="245" spans="1:8">
      <c r="A245" s="72">
        <v>44537</v>
      </c>
      <c r="B245" t="s">
        <v>64</v>
      </c>
      <c r="C245" t="s">
        <v>12</v>
      </c>
      <c r="D245">
        <v>6</v>
      </c>
      <c r="E245">
        <v>89.9</v>
      </c>
      <c r="F245">
        <v>0.2</v>
      </c>
      <c r="G245">
        <v>539.4</v>
      </c>
      <c r="H245" t="s">
        <v>116</v>
      </c>
    </row>
    <row r="246" spans="1:8">
      <c r="A246" s="72">
        <v>44538</v>
      </c>
      <c r="B246" t="s">
        <v>62</v>
      </c>
      <c r="C246" t="s">
        <v>14</v>
      </c>
      <c r="D246">
        <v>8</v>
      </c>
      <c r="E246">
        <v>250</v>
      </c>
      <c r="F246">
        <v>0.15</v>
      </c>
      <c r="G246">
        <v>2000</v>
      </c>
      <c r="H246" t="s">
        <v>117</v>
      </c>
    </row>
    <row r="247" spans="1:8">
      <c r="A247" s="72">
        <v>44539</v>
      </c>
      <c r="B247" t="s">
        <v>63</v>
      </c>
      <c r="C247" t="s">
        <v>14</v>
      </c>
      <c r="D247">
        <v>8</v>
      </c>
      <c r="E247">
        <v>259.89999999999998</v>
      </c>
      <c r="F247">
        <v>0.2</v>
      </c>
      <c r="G247">
        <v>2079.1999999999998</v>
      </c>
      <c r="H247" t="s">
        <v>116</v>
      </c>
    </row>
    <row r="248" spans="1:8">
      <c r="A248" s="72">
        <v>44540</v>
      </c>
      <c r="B248" t="s">
        <v>32</v>
      </c>
      <c r="C248" t="s">
        <v>12</v>
      </c>
      <c r="D248">
        <v>4</v>
      </c>
      <c r="E248">
        <v>69.900000000000006</v>
      </c>
      <c r="F248">
        <v>0.15</v>
      </c>
      <c r="G248">
        <v>279.60000000000002</v>
      </c>
      <c r="H248" t="s">
        <v>117</v>
      </c>
    </row>
    <row r="249" spans="1:8">
      <c r="A249" s="72">
        <v>44541</v>
      </c>
      <c r="B249" t="s">
        <v>38</v>
      </c>
      <c r="C249" t="s">
        <v>12</v>
      </c>
      <c r="D249">
        <v>3</v>
      </c>
      <c r="E249">
        <v>89.9</v>
      </c>
      <c r="F249">
        <v>0.2</v>
      </c>
      <c r="G249">
        <v>269.7</v>
      </c>
      <c r="H249" t="s">
        <v>113</v>
      </c>
    </row>
    <row r="250" spans="1:8">
      <c r="A250" s="72">
        <v>44542</v>
      </c>
      <c r="B250" t="s">
        <v>105</v>
      </c>
      <c r="C250" t="s">
        <v>14</v>
      </c>
      <c r="D250">
        <v>10</v>
      </c>
      <c r="E250">
        <v>89.9</v>
      </c>
      <c r="F250">
        <v>0.2</v>
      </c>
      <c r="G250">
        <v>899</v>
      </c>
      <c r="H250" t="s">
        <v>113</v>
      </c>
    </row>
    <row r="251" spans="1:8">
      <c r="A251" s="72">
        <v>44543</v>
      </c>
      <c r="B251" t="s">
        <v>88</v>
      </c>
      <c r="C251" t="s">
        <v>12</v>
      </c>
      <c r="D251">
        <v>6</v>
      </c>
      <c r="E251">
        <v>72.5</v>
      </c>
      <c r="F251">
        <v>0.15</v>
      </c>
      <c r="G251">
        <v>435</v>
      </c>
      <c r="H251" t="s">
        <v>114</v>
      </c>
    </row>
    <row r="252" spans="1:8">
      <c r="A252" s="72">
        <v>44544</v>
      </c>
      <c r="B252" t="s">
        <v>32</v>
      </c>
      <c r="C252" t="s">
        <v>12</v>
      </c>
      <c r="D252">
        <v>1</v>
      </c>
      <c r="E252">
        <v>69.900000000000006</v>
      </c>
      <c r="F252">
        <v>0.1</v>
      </c>
      <c r="G252">
        <v>69.900000000000006</v>
      </c>
      <c r="H252" t="s">
        <v>116</v>
      </c>
    </row>
    <row r="253" spans="1:8">
      <c r="A253" s="72">
        <v>44545</v>
      </c>
      <c r="B253" t="s">
        <v>90</v>
      </c>
      <c r="C253" t="s">
        <v>12</v>
      </c>
      <c r="D253">
        <v>8</v>
      </c>
      <c r="E253">
        <v>289.89999999999998</v>
      </c>
      <c r="F253">
        <v>0.2</v>
      </c>
      <c r="G253">
        <v>2319.1999999999998</v>
      </c>
      <c r="H253" t="s">
        <v>116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0059-32F2-470C-B213-C6A1E6645D18}">
  <dimension ref="A3:N16"/>
  <sheetViews>
    <sheetView tabSelected="1" workbookViewId="0">
      <selection activeCell="H5" sqref="H5"/>
    </sheetView>
  </sheetViews>
  <sheetFormatPr defaultRowHeight="15"/>
  <cols>
    <col min="1" max="1" width="18" customWidth="1"/>
    <col min="2" max="2" width="12.28515625" bestFit="1" customWidth="1"/>
    <col min="3" max="3" width="14.28515625" bestFit="1" customWidth="1"/>
    <col min="4" max="4" width="3.42578125" customWidth="1"/>
    <col min="5" max="5" width="18" bestFit="1" customWidth="1"/>
    <col min="6" max="6" width="14.28515625" bestFit="1" customWidth="1"/>
    <col min="7" max="7" width="6" customWidth="1"/>
    <col min="8" max="8" width="18" bestFit="1" customWidth="1"/>
    <col min="9" max="9" width="13.5703125" bestFit="1" customWidth="1"/>
    <col min="10" max="10" width="17.42578125" bestFit="1" customWidth="1"/>
    <col min="11" max="11" width="18.5703125" bestFit="1" customWidth="1"/>
    <col min="12" max="244" width="10.7109375" bestFit="1" customWidth="1"/>
    <col min="245" max="245" width="22.140625" bestFit="1" customWidth="1"/>
    <col min="246" max="246" width="12.28515625" bestFit="1" customWidth="1"/>
    <col min="247" max="247" width="22.140625" bestFit="1" customWidth="1"/>
    <col min="248" max="248" width="12.28515625" bestFit="1" customWidth="1"/>
    <col min="249" max="249" width="22.140625" bestFit="1" customWidth="1"/>
    <col min="250" max="250" width="12.28515625" bestFit="1" customWidth="1"/>
    <col min="251" max="251" width="22.140625" bestFit="1" customWidth="1"/>
    <col min="252" max="252" width="12.28515625" bestFit="1" customWidth="1"/>
    <col min="253" max="253" width="22.140625" bestFit="1" customWidth="1"/>
    <col min="254" max="254" width="12.28515625" bestFit="1" customWidth="1"/>
    <col min="255" max="255" width="22.140625" bestFit="1" customWidth="1"/>
    <col min="256" max="256" width="12.28515625" bestFit="1" customWidth="1"/>
    <col min="257" max="257" width="22.140625" bestFit="1" customWidth="1"/>
    <col min="258" max="258" width="12.28515625" bestFit="1" customWidth="1"/>
    <col min="259" max="259" width="22.140625" bestFit="1" customWidth="1"/>
    <col min="260" max="260" width="12.28515625" bestFit="1" customWidth="1"/>
    <col min="261" max="261" width="22.140625" bestFit="1" customWidth="1"/>
    <col min="262" max="262" width="12.28515625" bestFit="1" customWidth="1"/>
    <col min="263" max="263" width="22.140625" bestFit="1" customWidth="1"/>
    <col min="264" max="264" width="12.28515625" bestFit="1" customWidth="1"/>
    <col min="265" max="265" width="22.140625" bestFit="1" customWidth="1"/>
    <col min="266" max="266" width="12.28515625" bestFit="1" customWidth="1"/>
    <col min="267" max="267" width="22.140625" bestFit="1" customWidth="1"/>
    <col min="268" max="268" width="12.28515625" bestFit="1" customWidth="1"/>
    <col min="269" max="269" width="22.140625" bestFit="1" customWidth="1"/>
    <col min="270" max="270" width="12.28515625" bestFit="1" customWidth="1"/>
    <col min="271" max="271" width="22.140625" bestFit="1" customWidth="1"/>
    <col min="272" max="272" width="12.28515625" bestFit="1" customWidth="1"/>
    <col min="273" max="273" width="22.140625" bestFit="1" customWidth="1"/>
    <col min="274" max="274" width="12.28515625" bestFit="1" customWidth="1"/>
    <col min="275" max="275" width="22.140625" bestFit="1" customWidth="1"/>
    <col min="276" max="276" width="12.28515625" bestFit="1" customWidth="1"/>
    <col min="277" max="277" width="22.140625" bestFit="1" customWidth="1"/>
    <col min="278" max="278" width="12.28515625" bestFit="1" customWidth="1"/>
    <col min="279" max="279" width="22.140625" bestFit="1" customWidth="1"/>
    <col min="280" max="280" width="12.28515625" bestFit="1" customWidth="1"/>
    <col min="281" max="281" width="22.140625" bestFit="1" customWidth="1"/>
    <col min="282" max="282" width="12.28515625" bestFit="1" customWidth="1"/>
    <col min="283" max="283" width="22.140625" bestFit="1" customWidth="1"/>
    <col min="284" max="284" width="12.28515625" bestFit="1" customWidth="1"/>
    <col min="285" max="285" width="22.140625" bestFit="1" customWidth="1"/>
    <col min="286" max="286" width="12.28515625" bestFit="1" customWidth="1"/>
    <col min="287" max="287" width="22.140625" bestFit="1" customWidth="1"/>
    <col min="288" max="288" width="12.28515625" bestFit="1" customWidth="1"/>
    <col min="289" max="289" width="22.140625" bestFit="1" customWidth="1"/>
    <col min="290" max="290" width="12.28515625" bestFit="1" customWidth="1"/>
    <col min="291" max="291" width="22.140625" bestFit="1" customWidth="1"/>
    <col min="292" max="292" width="12.28515625" bestFit="1" customWidth="1"/>
    <col min="293" max="293" width="22.140625" bestFit="1" customWidth="1"/>
    <col min="294" max="294" width="12.28515625" bestFit="1" customWidth="1"/>
    <col min="295" max="295" width="22.140625" bestFit="1" customWidth="1"/>
    <col min="296" max="296" width="12.28515625" bestFit="1" customWidth="1"/>
    <col min="297" max="297" width="22.140625" bestFit="1" customWidth="1"/>
    <col min="298" max="298" width="12.28515625" bestFit="1" customWidth="1"/>
    <col min="299" max="299" width="22.140625" bestFit="1" customWidth="1"/>
    <col min="300" max="300" width="12.28515625" bestFit="1" customWidth="1"/>
    <col min="301" max="301" width="22.140625" bestFit="1" customWidth="1"/>
    <col min="302" max="302" width="12.28515625" bestFit="1" customWidth="1"/>
    <col min="303" max="303" width="22.140625" bestFit="1" customWidth="1"/>
    <col min="304" max="304" width="12.28515625" bestFit="1" customWidth="1"/>
    <col min="305" max="305" width="22.140625" bestFit="1" customWidth="1"/>
    <col min="306" max="306" width="12.28515625" bestFit="1" customWidth="1"/>
    <col min="307" max="307" width="22.140625" bestFit="1" customWidth="1"/>
    <col min="308" max="308" width="12.28515625" bestFit="1" customWidth="1"/>
    <col min="309" max="309" width="22.140625" bestFit="1" customWidth="1"/>
    <col min="310" max="310" width="12.28515625" bestFit="1" customWidth="1"/>
    <col min="311" max="311" width="22.140625" bestFit="1" customWidth="1"/>
    <col min="312" max="312" width="12.28515625" bestFit="1" customWidth="1"/>
    <col min="313" max="313" width="22.140625" bestFit="1" customWidth="1"/>
    <col min="314" max="314" width="12.28515625" bestFit="1" customWidth="1"/>
    <col min="315" max="315" width="22.140625" bestFit="1" customWidth="1"/>
    <col min="316" max="316" width="12.28515625" bestFit="1" customWidth="1"/>
    <col min="317" max="317" width="22.140625" bestFit="1" customWidth="1"/>
    <col min="318" max="318" width="12.28515625" bestFit="1" customWidth="1"/>
    <col min="319" max="319" width="22.140625" bestFit="1" customWidth="1"/>
    <col min="320" max="320" width="12.28515625" bestFit="1" customWidth="1"/>
    <col min="321" max="321" width="22.140625" bestFit="1" customWidth="1"/>
    <col min="322" max="322" width="12.28515625" bestFit="1" customWidth="1"/>
    <col min="323" max="323" width="22.140625" bestFit="1" customWidth="1"/>
    <col min="324" max="324" width="12.28515625" bestFit="1" customWidth="1"/>
    <col min="325" max="325" width="22.140625" bestFit="1" customWidth="1"/>
    <col min="326" max="326" width="12.28515625" bestFit="1" customWidth="1"/>
    <col min="327" max="327" width="22.140625" bestFit="1" customWidth="1"/>
    <col min="328" max="328" width="12.28515625" bestFit="1" customWidth="1"/>
    <col min="329" max="329" width="22.140625" bestFit="1" customWidth="1"/>
    <col min="330" max="330" width="12.28515625" bestFit="1" customWidth="1"/>
    <col min="331" max="331" width="22.140625" bestFit="1" customWidth="1"/>
    <col min="332" max="332" width="12.28515625" bestFit="1" customWidth="1"/>
    <col min="333" max="333" width="22.140625" bestFit="1" customWidth="1"/>
    <col min="334" max="334" width="12.28515625" bestFit="1" customWidth="1"/>
    <col min="335" max="335" width="22.140625" bestFit="1" customWidth="1"/>
    <col min="336" max="336" width="12.28515625" bestFit="1" customWidth="1"/>
    <col min="337" max="337" width="22.140625" bestFit="1" customWidth="1"/>
    <col min="338" max="338" width="12.28515625" bestFit="1" customWidth="1"/>
    <col min="339" max="339" width="22.140625" bestFit="1" customWidth="1"/>
    <col min="340" max="340" width="12.28515625" bestFit="1" customWidth="1"/>
    <col min="341" max="341" width="22.140625" bestFit="1" customWidth="1"/>
    <col min="342" max="342" width="12.28515625" bestFit="1" customWidth="1"/>
    <col min="343" max="343" width="22.140625" bestFit="1" customWidth="1"/>
    <col min="344" max="344" width="12.28515625" bestFit="1" customWidth="1"/>
    <col min="345" max="345" width="22.140625" bestFit="1" customWidth="1"/>
    <col min="346" max="346" width="12.28515625" bestFit="1" customWidth="1"/>
    <col min="347" max="347" width="22.140625" bestFit="1" customWidth="1"/>
    <col min="348" max="348" width="12.28515625" bestFit="1" customWidth="1"/>
    <col min="349" max="349" width="22.140625" bestFit="1" customWidth="1"/>
    <col min="350" max="350" width="12.28515625" bestFit="1" customWidth="1"/>
    <col min="351" max="351" width="22.140625" bestFit="1" customWidth="1"/>
    <col min="352" max="352" width="12.28515625" bestFit="1" customWidth="1"/>
    <col min="353" max="353" width="22.140625" bestFit="1" customWidth="1"/>
    <col min="354" max="354" width="12.28515625" bestFit="1" customWidth="1"/>
    <col min="355" max="355" width="22.140625" bestFit="1" customWidth="1"/>
    <col min="356" max="356" width="12.28515625" bestFit="1" customWidth="1"/>
    <col min="357" max="357" width="22.140625" bestFit="1" customWidth="1"/>
    <col min="358" max="358" width="12.28515625" bestFit="1" customWidth="1"/>
    <col min="359" max="359" width="22.140625" bestFit="1" customWidth="1"/>
    <col min="360" max="360" width="12.28515625" bestFit="1" customWidth="1"/>
    <col min="361" max="361" width="22.140625" bestFit="1" customWidth="1"/>
    <col min="362" max="362" width="12.28515625" bestFit="1" customWidth="1"/>
    <col min="363" max="363" width="22.140625" bestFit="1" customWidth="1"/>
    <col min="364" max="364" width="12.28515625" bestFit="1" customWidth="1"/>
    <col min="365" max="365" width="22.140625" bestFit="1" customWidth="1"/>
    <col min="366" max="366" width="12.28515625" bestFit="1" customWidth="1"/>
    <col min="367" max="367" width="22.140625" bestFit="1" customWidth="1"/>
    <col min="368" max="368" width="12.28515625" bestFit="1" customWidth="1"/>
    <col min="369" max="369" width="22.140625" bestFit="1" customWidth="1"/>
    <col min="370" max="370" width="12.28515625" bestFit="1" customWidth="1"/>
    <col min="371" max="371" width="22.140625" bestFit="1" customWidth="1"/>
    <col min="372" max="372" width="12.28515625" bestFit="1" customWidth="1"/>
    <col min="373" max="373" width="22.140625" bestFit="1" customWidth="1"/>
    <col min="374" max="374" width="12.28515625" bestFit="1" customWidth="1"/>
    <col min="375" max="375" width="22.140625" bestFit="1" customWidth="1"/>
    <col min="376" max="376" width="12.28515625" bestFit="1" customWidth="1"/>
    <col min="377" max="377" width="22.140625" bestFit="1" customWidth="1"/>
    <col min="378" max="378" width="12.28515625" bestFit="1" customWidth="1"/>
    <col min="379" max="379" width="22.140625" bestFit="1" customWidth="1"/>
    <col min="380" max="380" width="12.28515625" bestFit="1" customWidth="1"/>
    <col min="381" max="381" width="22.140625" bestFit="1" customWidth="1"/>
    <col min="382" max="382" width="12.28515625" bestFit="1" customWidth="1"/>
    <col min="383" max="383" width="22.140625" bestFit="1" customWidth="1"/>
    <col min="384" max="384" width="12.28515625" bestFit="1" customWidth="1"/>
    <col min="385" max="385" width="22.140625" bestFit="1" customWidth="1"/>
    <col min="386" max="386" width="12.28515625" bestFit="1" customWidth="1"/>
    <col min="387" max="387" width="22.140625" bestFit="1" customWidth="1"/>
    <col min="388" max="388" width="12.28515625" bestFit="1" customWidth="1"/>
    <col min="389" max="389" width="22.140625" bestFit="1" customWidth="1"/>
    <col min="390" max="390" width="12.28515625" bestFit="1" customWidth="1"/>
    <col min="391" max="391" width="22.140625" bestFit="1" customWidth="1"/>
    <col min="392" max="392" width="12.28515625" bestFit="1" customWidth="1"/>
    <col min="393" max="393" width="22.140625" bestFit="1" customWidth="1"/>
    <col min="394" max="394" width="12.28515625" bestFit="1" customWidth="1"/>
    <col min="395" max="395" width="22.140625" bestFit="1" customWidth="1"/>
    <col min="396" max="396" width="12.28515625" bestFit="1" customWidth="1"/>
    <col min="397" max="397" width="22.140625" bestFit="1" customWidth="1"/>
    <col min="398" max="398" width="12.28515625" bestFit="1" customWidth="1"/>
    <col min="399" max="399" width="22.140625" bestFit="1" customWidth="1"/>
    <col min="400" max="400" width="12.28515625" bestFit="1" customWidth="1"/>
    <col min="401" max="401" width="22.140625" bestFit="1" customWidth="1"/>
    <col min="402" max="402" width="12.28515625" bestFit="1" customWidth="1"/>
    <col min="403" max="403" width="22.140625" bestFit="1" customWidth="1"/>
    <col min="404" max="404" width="12.28515625" bestFit="1" customWidth="1"/>
    <col min="405" max="405" width="22.140625" bestFit="1" customWidth="1"/>
    <col min="406" max="406" width="12.28515625" bestFit="1" customWidth="1"/>
    <col min="407" max="407" width="22.140625" bestFit="1" customWidth="1"/>
    <col min="408" max="408" width="12.28515625" bestFit="1" customWidth="1"/>
    <col min="409" max="409" width="22.140625" bestFit="1" customWidth="1"/>
    <col min="410" max="410" width="12.28515625" bestFit="1" customWidth="1"/>
    <col min="411" max="411" width="22.140625" bestFit="1" customWidth="1"/>
    <col min="412" max="412" width="12.28515625" bestFit="1" customWidth="1"/>
    <col min="413" max="413" width="22.140625" bestFit="1" customWidth="1"/>
    <col min="414" max="414" width="12.28515625" bestFit="1" customWidth="1"/>
    <col min="415" max="415" width="22.140625" bestFit="1" customWidth="1"/>
    <col min="416" max="416" width="12.28515625" bestFit="1" customWidth="1"/>
    <col min="417" max="417" width="22.140625" bestFit="1" customWidth="1"/>
    <col min="418" max="418" width="12.28515625" bestFit="1" customWidth="1"/>
    <col min="419" max="419" width="22.140625" bestFit="1" customWidth="1"/>
    <col min="420" max="420" width="12.28515625" bestFit="1" customWidth="1"/>
    <col min="421" max="421" width="22.140625" bestFit="1" customWidth="1"/>
    <col min="422" max="422" width="12.28515625" bestFit="1" customWidth="1"/>
    <col min="423" max="423" width="22.140625" bestFit="1" customWidth="1"/>
    <col min="424" max="424" width="12.28515625" bestFit="1" customWidth="1"/>
    <col min="425" max="425" width="22.140625" bestFit="1" customWidth="1"/>
    <col min="426" max="426" width="12.28515625" bestFit="1" customWidth="1"/>
    <col min="427" max="427" width="22.140625" bestFit="1" customWidth="1"/>
    <col min="428" max="428" width="12.28515625" bestFit="1" customWidth="1"/>
    <col min="429" max="429" width="22.140625" bestFit="1" customWidth="1"/>
    <col min="430" max="430" width="12.28515625" bestFit="1" customWidth="1"/>
    <col min="431" max="431" width="22.140625" bestFit="1" customWidth="1"/>
    <col min="432" max="432" width="12.28515625" bestFit="1" customWidth="1"/>
    <col min="433" max="433" width="22.140625" bestFit="1" customWidth="1"/>
    <col min="434" max="434" width="12.28515625" bestFit="1" customWidth="1"/>
    <col min="435" max="435" width="22.140625" bestFit="1" customWidth="1"/>
    <col min="436" max="436" width="12.28515625" bestFit="1" customWidth="1"/>
    <col min="437" max="437" width="22.140625" bestFit="1" customWidth="1"/>
    <col min="438" max="438" width="12.28515625" bestFit="1" customWidth="1"/>
    <col min="439" max="439" width="22.140625" bestFit="1" customWidth="1"/>
    <col min="440" max="440" width="12.28515625" bestFit="1" customWidth="1"/>
    <col min="441" max="441" width="22.140625" bestFit="1" customWidth="1"/>
    <col min="442" max="442" width="12.28515625" bestFit="1" customWidth="1"/>
    <col min="443" max="443" width="22.140625" bestFit="1" customWidth="1"/>
    <col min="444" max="444" width="12.28515625" bestFit="1" customWidth="1"/>
    <col min="445" max="445" width="22.140625" bestFit="1" customWidth="1"/>
    <col min="446" max="446" width="12.28515625" bestFit="1" customWidth="1"/>
    <col min="447" max="447" width="22.140625" bestFit="1" customWidth="1"/>
    <col min="448" max="448" width="12.28515625" bestFit="1" customWidth="1"/>
    <col min="449" max="449" width="22.140625" bestFit="1" customWidth="1"/>
    <col min="450" max="450" width="12.28515625" bestFit="1" customWidth="1"/>
    <col min="451" max="451" width="22.140625" bestFit="1" customWidth="1"/>
    <col min="452" max="452" width="12.28515625" bestFit="1" customWidth="1"/>
    <col min="453" max="453" width="22.140625" bestFit="1" customWidth="1"/>
    <col min="454" max="454" width="12.28515625" bestFit="1" customWidth="1"/>
    <col min="455" max="455" width="22.140625" bestFit="1" customWidth="1"/>
    <col min="456" max="456" width="12.28515625" bestFit="1" customWidth="1"/>
    <col min="457" max="457" width="22.140625" bestFit="1" customWidth="1"/>
    <col min="458" max="458" width="12.28515625" bestFit="1" customWidth="1"/>
    <col min="459" max="459" width="22.140625" bestFit="1" customWidth="1"/>
    <col min="460" max="460" width="12.28515625" bestFit="1" customWidth="1"/>
    <col min="461" max="461" width="22.140625" bestFit="1" customWidth="1"/>
    <col min="462" max="462" width="12.28515625" bestFit="1" customWidth="1"/>
    <col min="463" max="463" width="22.140625" bestFit="1" customWidth="1"/>
    <col min="464" max="464" width="12.28515625" bestFit="1" customWidth="1"/>
    <col min="465" max="465" width="22.140625" bestFit="1" customWidth="1"/>
    <col min="466" max="466" width="12.28515625" bestFit="1" customWidth="1"/>
    <col min="467" max="467" width="22.140625" bestFit="1" customWidth="1"/>
    <col min="468" max="468" width="12.28515625" bestFit="1" customWidth="1"/>
    <col min="469" max="469" width="22.140625" bestFit="1" customWidth="1"/>
    <col min="470" max="470" width="12.28515625" bestFit="1" customWidth="1"/>
    <col min="471" max="471" width="22.140625" bestFit="1" customWidth="1"/>
    <col min="472" max="472" width="12.28515625" bestFit="1" customWidth="1"/>
    <col min="473" max="473" width="22.140625" bestFit="1" customWidth="1"/>
    <col min="474" max="474" width="12.28515625" bestFit="1" customWidth="1"/>
    <col min="475" max="475" width="22.140625" bestFit="1" customWidth="1"/>
    <col min="476" max="476" width="12.28515625" bestFit="1" customWidth="1"/>
    <col min="477" max="477" width="22.140625" bestFit="1" customWidth="1"/>
    <col min="478" max="478" width="12.28515625" bestFit="1" customWidth="1"/>
    <col min="479" max="479" width="22.140625" bestFit="1" customWidth="1"/>
    <col min="480" max="480" width="12.28515625" bestFit="1" customWidth="1"/>
    <col min="481" max="481" width="22.140625" bestFit="1" customWidth="1"/>
    <col min="482" max="482" width="12.28515625" bestFit="1" customWidth="1"/>
    <col min="483" max="483" width="22.140625" bestFit="1" customWidth="1"/>
    <col min="484" max="484" width="12.28515625" bestFit="1" customWidth="1"/>
    <col min="485" max="485" width="22.140625" bestFit="1" customWidth="1"/>
    <col min="486" max="486" width="17.42578125" bestFit="1" customWidth="1"/>
    <col min="487" max="487" width="27.140625" bestFit="1" customWidth="1"/>
    <col min="488" max="488" width="12.28515625" bestFit="1" customWidth="1"/>
    <col min="489" max="489" width="22.140625" bestFit="1" customWidth="1"/>
    <col min="490" max="490" width="22.42578125" bestFit="1" customWidth="1"/>
    <col min="491" max="491" width="12.28515625" bestFit="1" customWidth="1"/>
    <col min="492" max="492" width="22.140625" bestFit="1" customWidth="1"/>
    <col min="493" max="493" width="22.42578125" bestFit="1" customWidth="1"/>
    <col min="494" max="494" width="12.28515625" bestFit="1" customWidth="1"/>
    <col min="495" max="495" width="22.140625" bestFit="1" customWidth="1"/>
    <col min="496" max="496" width="22.42578125" bestFit="1" customWidth="1"/>
    <col min="497" max="497" width="12.28515625" bestFit="1" customWidth="1"/>
    <col min="498" max="498" width="22.140625" bestFit="1" customWidth="1"/>
    <col min="499" max="499" width="22.42578125" bestFit="1" customWidth="1"/>
    <col min="500" max="500" width="12.28515625" bestFit="1" customWidth="1"/>
    <col min="501" max="501" width="22.140625" bestFit="1" customWidth="1"/>
    <col min="502" max="502" width="22.42578125" bestFit="1" customWidth="1"/>
    <col min="503" max="503" width="12.28515625" bestFit="1" customWidth="1"/>
    <col min="504" max="504" width="22.140625" bestFit="1" customWidth="1"/>
    <col min="505" max="505" width="22.42578125" bestFit="1" customWidth="1"/>
    <col min="506" max="506" width="12.28515625" bestFit="1" customWidth="1"/>
    <col min="507" max="507" width="22.140625" bestFit="1" customWidth="1"/>
    <col min="508" max="508" width="22.42578125" bestFit="1" customWidth="1"/>
    <col min="509" max="509" width="12.28515625" bestFit="1" customWidth="1"/>
    <col min="510" max="510" width="22.140625" bestFit="1" customWidth="1"/>
    <col min="511" max="511" width="22.42578125" bestFit="1" customWidth="1"/>
    <col min="512" max="512" width="12.28515625" bestFit="1" customWidth="1"/>
    <col min="513" max="513" width="22.140625" bestFit="1" customWidth="1"/>
    <col min="514" max="514" width="22.42578125" bestFit="1" customWidth="1"/>
    <col min="515" max="515" width="12.28515625" bestFit="1" customWidth="1"/>
    <col min="516" max="516" width="22.140625" bestFit="1" customWidth="1"/>
    <col min="517" max="517" width="22.42578125" bestFit="1" customWidth="1"/>
    <col min="518" max="518" width="12.28515625" bestFit="1" customWidth="1"/>
    <col min="519" max="519" width="22.140625" bestFit="1" customWidth="1"/>
    <col min="520" max="520" width="22.42578125" bestFit="1" customWidth="1"/>
    <col min="521" max="521" width="12.28515625" bestFit="1" customWidth="1"/>
    <col min="522" max="522" width="22.140625" bestFit="1" customWidth="1"/>
    <col min="523" max="523" width="22.42578125" bestFit="1" customWidth="1"/>
    <col min="524" max="524" width="12.28515625" bestFit="1" customWidth="1"/>
    <col min="525" max="525" width="22.140625" bestFit="1" customWidth="1"/>
    <col min="526" max="526" width="22.42578125" bestFit="1" customWidth="1"/>
    <col min="527" max="527" width="12.28515625" bestFit="1" customWidth="1"/>
    <col min="528" max="528" width="22.140625" bestFit="1" customWidth="1"/>
    <col min="529" max="529" width="22.42578125" bestFit="1" customWidth="1"/>
    <col min="530" max="530" width="12.28515625" bestFit="1" customWidth="1"/>
    <col min="531" max="531" width="22.140625" bestFit="1" customWidth="1"/>
    <col min="532" max="532" width="22.42578125" bestFit="1" customWidth="1"/>
    <col min="533" max="533" width="12.28515625" bestFit="1" customWidth="1"/>
    <col min="534" max="534" width="22.140625" bestFit="1" customWidth="1"/>
    <col min="535" max="535" width="22.42578125" bestFit="1" customWidth="1"/>
    <col min="536" max="536" width="12.28515625" bestFit="1" customWidth="1"/>
    <col min="537" max="537" width="22.140625" bestFit="1" customWidth="1"/>
    <col min="538" max="538" width="22.42578125" bestFit="1" customWidth="1"/>
    <col min="539" max="539" width="12.28515625" bestFit="1" customWidth="1"/>
    <col min="540" max="540" width="22.140625" bestFit="1" customWidth="1"/>
    <col min="541" max="541" width="22.42578125" bestFit="1" customWidth="1"/>
    <col min="542" max="542" width="12.28515625" bestFit="1" customWidth="1"/>
    <col min="543" max="543" width="22.140625" bestFit="1" customWidth="1"/>
    <col min="544" max="544" width="22.42578125" bestFit="1" customWidth="1"/>
    <col min="545" max="545" width="12.28515625" bestFit="1" customWidth="1"/>
    <col min="546" max="546" width="22.140625" bestFit="1" customWidth="1"/>
    <col min="547" max="547" width="22.42578125" bestFit="1" customWidth="1"/>
    <col min="548" max="548" width="12.28515625" bestFit="1" customWidth="1"/>
    <col min="549" max="549" width="22.140625" bestFit="1" customWidth="1"/>
    <col min="550" max="550" width="22.42578125" bestFit="1" customWidth="1"/>
    <col min="551" max="551" width="12.28515625" bestFit="1" customWidth="1"/>
    <col min="552" max="552" width="22.140625" bestFit="1" customWidth="1"/>
    <col min="553" max="553" width="22.42578125" bestFit="1" customWidth="1"/>
    <col min="554" max="554" width="12.28515625" bestFit="1" customWidth="1"/>
    <col min="555" max="555" width="22.140625" bestFit="1" customWidth="1"/>
    <col min="556" max="556" width="22.42578125" bestFit="1" customWidth="1"/>
    <col min="557" max="557" width="12.28515625" bestFit="1" customWidth="1"/>
    <col min="558" max="558" width="22.140625" bestFit="1" customWidth="1"/>
    <col min="559" max="559" width="22.42578125" bestFit="1" customWidth="1"/>
    <col min="560" max="560" width="12.28515625" bestFit="1" customWidth="1"/>
    <col min="561" max="561" width="22.140625" bestFit="1" customWidth="1"/>
    <col min="562" max="562" width="22.42578125" bestFit="1" customWidth="1"/>
    <col min="563" max="563" width="12.28515625" bestFit="1" customWidth="1"/>
    <col min="564" max="564" width="22.140625" bestFit="1" customWidth="1"/>
    <col min="565" max="565" width="22.42578125" bestFit="1" customWidth="1"/>
    <col min="566" max="566" width="12.28515625" bestFit="1" customWidth="1"/>
    <col min="567" max="567" width="22.140625" bestFit="1" customWidth="1"/>
    <col min="568" max="568" width="22.42578125" bestFit="1" customWidth="1"/>
    <col min="569" max="569" width="12.28515625" bestFit="1" customWidth="1"/>
    <col min="570" max="570" width="22.140625" bestFit="1" customWidth="1"/>
    <col min="571" max="571" width="22.42578125" bestFit="1" customWidth="1"/>
    <col min="572" max="572" width="12.28515625" bestFit="1" customWidth="1"/>
    <col min="573" max="573" width="22.140625" bestFit="1" customWidth="1"/>
    <col min="574" max="574" width="22.42578125" bestFit="1" customWidth="1"/>
    <col min="575" max="575" width="12.28515625" bestFit="1" customWidth="1"/>
    <col min="576" max="576" width="22.140625" bestFit="1" customWidth="1"/>
    <col min="577" max="577" width="22.42578125" bestFit="1" customWidth="1"/>
    <col min="578" max="578" width="12.28515625" bestFit="1" customWidth="1"/>
    <col min="579" max="579" width="22.140625" bestFit="1" customWidth="1"/>
    <col min="580" max="580" width="22.42578125" bestFit="1" customWidth="1"/>
    <col min="581" max="581" width="12.28515625" bestFit="1" customWidth="1"/>
    <col min="582" max="582" width="22.140625" bestFit="1" customWidth="1"/>
    <col min="583" max="583" width="22.42578125" bestFit="1" customWidth="1"/>
    <col min="584" max="584" width="12.28515625" bestFit="1" customWidth="1"/>
    <col min="585" max="585" width="22.140625" bestFit="1" customWidth="1"/>
    <col min="586" max="586" width="22.42578125" bestFit="1" customWidth="1"/>
    <col min="587" max="587" width="12.28515625" bestFit="1" customWidth="1"/>
    <col min="588" max="588" width="22.140625" bestFit="1" customWidth="1"/>
    <col min="589" max="589" width="22.42578125" bestFit="1" customWidth="1"/>
    <col min="590" max="590" width="12.28515625" bestFit="1" customWidth="1"/>
    <col min="591" max="591" width="22.140625" bestFit="1" customWidth="1"/>
    <col min="592" max="592" width="22.42578125" bestFit="1" customWidth="1"/>
    <col min="593" max="593" width="12.28515625" bestFit="1" customWidth="1"/>
    <col min="594" max="594" width="22.140625" bestFit="1" customWidth="1"/>
    <col min="595" max="595" width="22.42578125" bestFit="1" customWidth="1"/>
    <col min="596" max="596" width="12.28515625" bestFit="1" customWidth="1"/>
    <col min="597" max="597" width="22.140625" bestFit="1" customWidth="1"/>
    <col min="598" max="598" width="22.42578125" bestFit="1" customWidth="1"/>
    <col min="599" max="599" width="12.28515625" bestFit="1" customWidth="1"/>
    <col min="600" max="600" width="22.140625" bestFit="1" customWidth="1"/>
    <col min="601" max="601" width="22.42578125" bestFit="1" customWidth="1"/>
    <col min="602" max="602" width="12.28515625" bestFit="1" customWidth="1"/>
    <col min="603" max="603" width="22.140625" bestFit="1" customWidth="1"/>
    <col min="604" max="604" width="22.42578125" bestFit="1" customWidth="1"/>
    <col min="605" max="605" width="12.28515625" bestFit="1" customWidth="1"/>
    <col min="606" max="606" width="22.140625" bestFit="1" customWidth="1"/>
    <col min="607" max="607" width="22.42578125" bestFit="1" customWidth="1"/>
    <col min="608" max="608" width="12.28515625" bestFit="1" customWidth="1"/>
    <col min="609" max="609" width="22.140625" bestFit="1" customWidth="1"/>
    <col min="610" max="610" width="22.42578125" bestFit="1" customWidth="1"/>
    <col min="611" max="611" width="12.28515625" bestFit="1" customWidth="1"/>
    <col min="612" max="612" width="22.140625" bestFit="1" customWidth="1"/>
    <col min="613" max="613" width="22.42578125" bestFit="1" customWidth="1"/>
    <col min="614" max="614" width="12.28515625" bestFit="1" customWidth="1"/>
    <col min="615" max="615" width="22.140625" bestFit="1" customWidth="1"/>
    <col min="616" max="616" width="22.42578125" bestFit="1" customWidth="1"/>
    <col min="617" max="617" width="12.28515625" bestFit="1" customWidth="1"/>
    <col min="618" max="618" width="22.140625" bestFit="1" customWidth="1"/>
    <col min="619" max="619" width="22.42578125" bestFit="1" customWidth="1"/>
    <col min="620" max="620" width="12.28515625" bestFit="1" customWidth="1"/>
    <col min="621" max="621" width="22.140625" bestFit="1" customWidth="1"/>
    <col min="622" max="622" width="22.42578125" bestFit="1" customWidth="1"/>
    <col min="623" max="623" width="12.28515625" bestFit="1" customWidth="1"/>
    <col min="624" max="624" width="22.140625" bestFit="1" customWidth="1"/>
    <col min="625" max="625" width="22.42578125" bestFit="1" customWidth="1"/>
    <col min="626" max="626" width="12.28515625" bestFit="1" customWidth="1"/>
    <col min="627" max="627" width="22.140625" bestFit="1" customWidth="1"/>
    <col min="628" max="628" width="22.42578125" bestFit="1" customWidth="1"/>
    <col min="629" max="629" width="12.28515625" bestFit="1" customWidth="1"/>
    <col min="630" max="630" width="22.140625" bestFit="1" customWidth="1"/>
    <col min="631" max="631" width="22.42578125" bestFit="1" customWidth="1"/>
    <col min="632" max="632" width="12.28515625" bestFit="1" customWidth="1"/>
    <col min="633" max="633" width="22.140625" bestFit="1" customWidth="1"/>
    <col min="634" max="634" width="22.42578125" bestFit="1" customWidth="1"/>
    <col min="635" max="635" width="12.28515625" bestFit="1" customWidth="1"/>
    <col min="636" max="636" width="22.140625" bestFit="1" customWidth="1"/>
    <col min="637" max="637" width="22.42578125" bestFit="1" customWidth="1"/>
    <col min="638" max="638" width="12.28515625" bestFit="1" customWidth="1"/>
    <col min="639" max="639" width="22.140625" bestFit="1" customWidth="1"/>
    <col min="640" max="640" width="22.42578125" bestFit="1" customWidth="1"/>
    <col min="641" max="641" width="12.28515625" bestFit="1" customWidth="1"/>
    <col min="642" max="642" width="22.140625" bestFit="1" customWidth="1"/>
    <col min="643" max="643" width="22.42578125" bestFit="1" customWidth="1"/>
    <col min="644" max="644" width="12.28515625" bestFit="1" customWidth="1"/>
    <col min="645" max="645" width="22.140625" bestFit="1" customWidth="1"/>
    <col min="646" max="646" width="22.42578125" bestFit="1" customWidth="1"/>
    <col min="647" max="647" width="12.28515625" bestFit="1" customWidth="1"/>
    <col min="648" max="648" width="22.140625" bestFit="1" customWidth="1"/>
    <col min="649" max="649" width="22.42578125" bestFit="1" customWidth="1"/>
    <col min="650" max="650" width="12.28515625" bestFit="1" customWidth="1"/>
    <col min="651" max="651" width="22.140625" bestFit="1" customWidth="1"/>
    <col min="652" max="652" width="22.42578125" bestFit="1" customWidth="1"/>
    <col min="653" max="653" width="12.28515625" bestFit="1" customWidth="1"/>
    <col min="654" max="654" width="22.140625" bestFit="1" customWidth="1"/>
    <col min="655" max="655" width="22.42578125" bestFit="1" customWidth="1"/>
    <col min="656" max="656" width="12.28515625" bestFit="1" customWidth="1"/>
    <col min="657" max="657" width="22.140625" bestFit="1" customWidth="1"/>
    <col min="658" max="658" width="22.42578125" bestFit="1" customWidth="1"/>
    <col min="659" max="659" width="12.28515625" bestFit="1" customWidth="1"/>
    <col min="660" max="660" width="22.140625" bestFit="1" customWidth="1"/>
    <col min="661" max="661" width="22.42578125" bestFit="1" customWidth="1"/>
    <col min="662" max="662" width="12.28515625" bestFit="1" customWidth="1"/>
    <col min="663" max="663" width="22.140625" bestFit="1" customWidth="1"/>
    <col min="664" max="664" width="22.42578125" bestFit="1" customWidth="1"/>
    <col min="665" max="665" width="12.28515625" bestFit="1" customWidth="1"/>
    <col min="666" max="666" width="22.140625" bestFit="1" customWidth="1"/>
    <col min="667" max="667" width="22.42578125" bestFit="1" customWidth="1"/>
    <col min="668" max="668" width="12.28515625" bestFit="1" customWidth="1"/>
    <col min="669" max="669" width="22.140625" bestFit="1" customWidth="1"/>
    <col min="670" max="670" width="22.42578125" bestFit="1" customWidth="1"/>
    <col min="671" max="671" width="12.28515625" bestFit="1" customWidth="1"/>
    <col min="672" max="672" width="22.140625" bestFit="1" customWidth="1"/>
    <col min="673" max="673" width="22.42578125" bestFit="1" customWidth="1"/>
    <col min="674" max="674" width="12.28515625" bestFit="1" customWidth="1"/>
    <col min="675" max="675" width="22.140625" bestFit="1" customWidth="1"/>
    <col min="676" max="676" width="22.42578125" bestFit="1" customWidth="1"/>
    <col min="677" max="677" width="12.28515625" bestFit="1" customWidth="1"/>
    <col min="678" max="678" width="22.140625" bestFit="1" customWidth="1"/>
    <col min="679" max="679" width="22.42578125" bestFit="1" customWidth="1"/>
    <col min="680" max="680" width="12.28515625" bestFit="1" customWidth="1"/>
    <col min="681" max="681" width="22.140625" bestFit="1" customWidth="1"/>
    <col min="682" max="682" width="22.42578125" bestFit="1" customWidth="1"/>
    <col min="683" max="683" width="12.28515625" bestFit="1" customWidth="1"/>
    <col min="684" max="684" width="22.140625" bestFit="1" customWidth="1"/>
    <col min="685" max="685" width="22.42578125" bestFit="1" customWidth="1"/>
    <col min="686" max="686" width="12.28515625" bestFit="1" customWidth="1"/>
    <col min="687" max="687" width="22.140625" bestFit="1" customWidth="1"/>
    <col min="688" max="688" width="22.42578125" bestFit="1" customWidth="1"/>
    <col min="689" max="689" width="12.28515625" bestFit="1" customWidth="1"/>
    <col min="690" max="690" width="22.140625" bestFit="1" customWidth="1"/>
    <col min="691" max="691" width="22.42578125" bestFit="1" customWidth="1"/>
    <col min="692" max="692" width="12.28515625" bestFit="1" customWidth="1"/>
    <col min="693" max="693" width="22.140625" bestFit="1" customWidth="1"/>
    <col min="694" max="694" width="22.42578125" bestFit="1" customWidth="1"/>
    <col min="695" max="695" width="12.28515625" bestFit="1" customWidth="1"/>
    <col min="696" max="696" width="22.140625" bestFit="1" customWidth="1"/>
    <col min="697" max="697" width="22.42578125" bestFit="1" customWidth="1"/>
    <col min="698" max="698" width="12.28515625" bestFit="1" customWidth="1"/>
    <col min="699" max="699" width="22.140625" bestFit="1" customWidth="1"/>
    <col min="700" max="700" width="22.42578125" bestFit="1" customWidth="1"/>
    <col min="701" max="701" width="12.28515625" bestFit="1" customWidth="1"/>
    <col min="702" max="702" width="22.140625" bestFit="1" customWidth="1"/>
    <col min="703" max="703" width="22.42578125" bestFit="1" customWidth="1"/>
    <col min="704" max="704" width="12.28515625" bestFit="1" customWidth="1"/>
    <col min="705" max="705" width="22.140625" bestFit="1" customWidth="1"/>
    <col min="706" max="706" width="22.42578125" bestFit="1" customWidth="1"/>
    <col min="707" max="707" width="12.28515625" bestFit="1" customWidth="1"/>
    <col min="708" max="708" width="22.140625" bestFit="1" customWidth="1"/>
    <col min="709" max="709" width="22.42578125" bestFit="1" customWidth="1"/>
    <col min="710" max="710" width="12.28515625" bestFit="1" customWidth="1"/>
    <col min="711" max="711" width="22.140625" bestFit="1" customWidth="1"/>
    <col min="712" max="712" width="22.42578125" bestFit="1" customWidth="1"/>
    <col min="713" max="713" width="12.28515625" bestFit="1" customWidth="1"/>
    <col min="714" max="714" width="22.140625" bestFit="1" customWidth="1"/>
    <col min="715" max="715" width="22.42578125" bestFit="1" customWidth="1"/>
    <col min="716" max="716" width="12.28515625" bestFit="1" customWidth="1"/>
    <col min="717" max="717" width="22.140625" bestFit="1" customWidth="1"/>
    <col min="718" max="718" width="22.42578125" bestFit="1" customWidth="1"/>
    <col min="719" max="719" width="12.28515625" bestFit="1" customWidth="1"/>
    <col min="720" max="720" width="22.140625" bestFit="1" customWidth="1"/>
    <col min="721" max="721" width="22.42578125" bestFit="1" customWidth="1"/>
    <col min="722" max="722" width="12.28515625" bestFit="1" customWidth="1"/>
    <col min="723" max="723" width="22.140625" bestFit="1" customWidth="1"/>
    <col min="724" max="724" width="22.42578125" bestFit="1" customWidth="1"/>
    <col min="725" max="725" width="12.28515625" bestFit="1" customWidth="1"/>
    <col min="726" max="726" width="22.140625" bestFit="1" customWidth="1"/>
    <col min="727" max="727" width="22.42578125" bestFit="1" customWidth="1"/>
    <col min="728" max="728" width="17.42578125" bestFit="1" customWidth="1"/>
    <col min="729" max="729" width="27.140625" bestFit="1" customWidth="1"/>
    <col min="730" max="730" width="27.42578125" bestFit="1" customWidth="1"/>
    <col min="731" max="731" width="22.140625" bestFit="1" customWidth="1"/>
    <col min="732" max="732" width="22.42578125" bestFit="1" customWidth="1"/>
    <col min="733" max="733" width="13.5703125" bestFit="1" customWidth="1"/>
    <col min="734" max="734" width="12.28515625" bestFit="1" customWidth="1"/>
    <col min="735" max="735" width="22.140625" bestFit="1" customWidth="1"/>
    <col min="736" max="736" width="22.42578125" bestFit="1" customWidth="1"/>
    <col min="737" max="737" width="13.5703125" bestFit="1" customWidth="1"/>
    <col min="738" max="738" width="12.28515625" bestFit="1" customWidth="1"/>
    <col min="739" max="739" width="22.140625" bestFit="1" customWidth="1"/>
    <col min="740" max="740" width="22.42578125" bestFit="1" customWidth="1"/>
    <col min="741" max="741" width="13.5703125" bestFit="1" customWidth="1"/>
    <col min="742" max="742" width="12.28515625" bestFit="1" customWidth="1"/>
    <col min="743" max="743" width="22.140625" bestFit="1" customWidth="1"/>
    <col min="744" max="744" width="22.42578125" bestFit="1" customWidth="1"/>
    <col min="745" max="745" width="13.5703125" bestFit="1" customWidth="1"/>
    <col min="746" max="746" width="12.28515625" bestFit="1" customWidth="1"/>
    <col min="747" max="747" width="22.140625" bestFit="1" customWidth="1"/>
    <col min="748" max="748" width="22.42578125" bestFit="1" customWidth="1"/>
    <col min="749" max="749" width="13.5703125" bestFit="1" customWidth="1"/>
    <col min="750" max="750" width="12.28515625" bestFit="1" customWidth="1"/>
    <col min="751" max="751" width="22.140625" bestFit="1" customWidth="1"/>
    <col min="752" max="752" width="22.42578125" bestFit="1" customWidth="1"/>
    <col min="753" max="753" width="13.5703125" bestFit="1" customWidth="1"/>
    <col min="754" max="754" width="12.28515625" bestFit="1" customWidth="1"/>
    <col min="755" max="755" width="22.140625" bestFit="1" customWidth="1"/>
    <col min="756" max="756" width="22.42578125" bestFit="1" customWidth="1"/>
    <col min="757" max="757" width="13.5703125" bestFit="1" customWidth="1"/>
    <col min="758" max="758" width="12.28515625" bestFit="1" customWidth="1"/>
    <col min="759" max="759" width="22.140625" bestFit="1" customWidth="1"/>
    <col min="760" max="760" width="22.42578125" bestFit="1" customWidth="1"/>
    <col min="761" max="761" width="13.5703125" bestFit="1" customWidth="1"/>
    <col min="762" max="762" width="12.28515625" bestFit="1" customWidth="1"/>
    <col min="763" max="763" width="22.140625" bestFit="1" customWidth="1"/>
    <col min="764" max="764" width="22.42578125" bestFit="1" customWidth="1"/>
    <col min="765" max="765" width="13.5703125" bestFit="1" customWidth="1"/>
    <col min="766" max="766" width="12.28515625" bestFit="1" customWidth="1"/>
    <col min="767" max="767" width="22.140625" bestFit="1" customWidth="1"/>
    <col min="768" max="768" width="22.42578125" bestFit="1" customWidth="1"/>
    <col min="769" max="769" width="13.5703125" bestFit="1" customWidth="1"/>
    <col min="770" max="770" width="12.28515625" bestFit="1" customWidth="1"/>
    <col min="771" max="771" width="22.140625" bestFit="1" customWidth="1"/>
    <col min="772" max="772" width="22.42578125" bestFit="1" customWidth="1"/>
    <col min="773" max="773" width="13.5703125" bestFit="1" customWidth="1"/>
    <col min="774" max="774" width="12.28515625" bestFit="1" customWidth="1"/>
    <col min="775" max="775" width="22.140625" bestFit="1" customWidth="1"/>
    <col min="776" max="776" width="22.42578125" bestFit="1" customWidth="1"/>
    <col min="777" max="777" width="13.5703125" bestFit="1" customWidth="1"/>
    <col min="778" max="778" width="12.28515625" bestFit="1" customWidth="1"/>
    <col min="779" max="779" width="22.140625" bestFit="1" customWidth="1"/>
    <col min="780" max="780" width="22.42578125" bestFit="1" customWidth="1"/>
    <col min="781" max="781" width="13.5703125" bestFit="1" customWidth="1"/>
    <col min="782" max="782" width="12.28515625" bestFit="1" customWidth="1"/>
    <col min="783" max="783" width="22.140625" bestFit="1" customWidth="1"/>
    <col min="784" max="784" width="22.42578125" bestFit="1" customWidth="1"/>
    <col min="785" max="785" width="13.5703125" bestFit="1" customWidth="1"/>
    <col min="786" max="786" width="12.28515625" bestFit="1" customWidth="1"/>
    <col min="787" max="787" width="22.140625" bestFit="1" customWidth="1"/>
    <col min="788" max="788" width="22.42578125" bestFit="1" customWidth="1"/>
    <col min="789" max="789" width="13.5703125" bestFit="1" customWidth="1"/>
    <col min="790" max="790" width="12.28515625" bestFit="1" customWidth="1"/>
    <col min="791" max="791" width="22.140625" bestFit="1" customWidth="1"/>
    <col min="792" max="792" width="22.42578125" bestFit="1" customWidth="1"/>
    <col min="793" max="793" width="13.5703125" bestFit="1" customWidth="1"/>
    <col min="794" max="794" width="12.28515625" bestFit="1" customWidth="1"/>
    <col min="795" max="795" width="22.140625" bestFit="1" customWidth="1"/>
    <col min="796" max="796" width="22.42578125" bestFit="1" customWidth="1"/>
    <col min="797" max="797" width="13.5703125" bestFit="1" customWidth="1"/>
    <col min="798" max="798" width="12.28515625" bestFit="1" customWidth="1"/>
    <col min="799" max="799" width="22.140625" bestFit="1" customWidth="1"/>
    <col min="800" max="800" width="22.42578125" bestFit="1" customWidth="1"/>
    <col min="801" max="801" width="13.5703125" bestFit="1" customWidth="1"/>
    <col min="802" max="802" width="12.28515625" bestFit="1" customWidth="1"/>
    <col min="803" max="803" width="22.140625" bestFit="1" customWidth="1"/>
    <col min="804" max="804" width="22.42578125" bestFit="1" customWidth="1"/>
    <col min="805" max="805" width="13.5703125" bestFit="1" customWidth="1"/>
    <col min="806" max="806" width="12.28515625" bestFit="1" customWidth="1"/>
    <col min="807" max="807" width="22.140625" bestFit="1" customWidth="1"/>
    <col min="808" max="808" width="22.42578125" bestFit="1" customWidth="1"/>
    <col min="809" max="809" width="13.5703125" bestFit="1" customWidth="1"/>
    <col min="810" max="810" width="12.28515625" bestFit="1" customWidth="1"/>
    <col min="811" max="811" width="22.140625" bestFit="1" customWidth="1"/>
    <col min="812" max="812" width="22.42578125" bestFit="1" customWidth="1"/>
    <col min="813" max="813" width="13.5703125" bestFit="1" customWidth="1"/>
    <col min="814" max="814" width="12.28515625" bestFit="1" customWidth="1"/>
    <col min="815" max="815" width="22.140625" bestFit="1" customWidth="1"/>
    <col min="816" max="816" width="22.42578125" bestFit="1" customWidth="1"/>
    <col min="817" max="817" width="13.5703125" bestFit="1" customWidth="1"/>
    <col min="818" max="818" width="12.28515625" bestFit="1" customWidth="1"/>
    <col min="819" max="819" width="22.140625" bestFit="1" customWidth="1"/>
    <col min="820" max="820" width="22.42578125" bestFit="1" customWidth="1"/>
    <col min="821" max="821" width="13.5703125" bestFit="1" customWidth="1"/>
    <col min="822" max="822" width="12.28515625" bestFit="1" customWidth="1"/>
    <col min="823" max="823" width="22.140625" bestFit="1" customWidth="1"/>
    <col min="824" max="824" width="22.42578125" bestFit="1" customWidth="1"/>
    <col min="825" max="825" width="13.5703125" bestFit="1" customWidth="1"/>
    <col min="826" max="826" width="12.28515625" bestFit="1" customWidth="1"/>
    <col min="827" max="827" width="22.140625" bestFit="1" customWidth="1"/>
    <col min="828" max="828" width="22.42578125" bestFit="1" customWidth="1"/>
    <col min="829" max="829" width="13.5703125" bestFit="1" customWidth="1"/>
    <col min="830" max="830" width="12.28515625" bestFit="1" customWidth="1"/>
    <col min="831" max="831" width="22.140625" bestFit="1" customWidth="1"/>
    <col min="832" max="832" width="22.42578125" bestFit="1" customWidth="1"/>
    <col min="833" max="833" width="13.5703125" bestFit="1" customWidth="1"/>
    <col min="834" max="834" width="12.28515625" bestFit="1" customWidth="1"/>
    <col min="835" max="835" width="22.140625" bestFit="1" customWidth="1"/>
    <col min="836" max="836" width="22.42578125" bestFit="1" customWidth="1"/>
    <col min="837" max="837" width="13.5703125" bestFit="1" customWidth="1"/>
    <col min="838" max="838" width="12.28515625" bestFit="1" customWidth="1"/>
    <col min="839" max="839" width="22.140625" bestFit="1" customWidth="1"/>
    <col min="840" max="840" width="22.42578125" bestFit="1" customWidth="1"/>
    <col min="841" max="841" width="13.5703125" bestFit="1" customWidth="1"/>
    <col min="842" max="842" width="12.28515625" bestFit="1" customWidth="1"/>
    <col min="843" max="843" width="22.140625" bestFit="1" customWidth="1"/>
    <col min="844" max="844" width="22.42578125" bestFit="1" customWidth="1"/>
    <col min="845" max="845" width="13.5703125" bestFit="1" customWidth="1"/>
    <col min="846" max="846" width="12.28515625" bestFit="1" customWidth="1"/>
    <col min="847" max="847" width="22.140625" bestFit="1" customWidth="1"/>
    <col min="848" max="848" width="22.42578125" bestFit="1" customWidth="1"/>
    <col min="849" max="849" width="13.5703125" bestFit="1" customWidth="1"/>
    <col min="850" max="850" width="12.28515625" bestFit="1" customWidth="1"/>
    <col min="851" max="851" width="22.140625" bestFit="1" customWidth="1"/>
    <col min="852" max="852" width="22.42578125" bestFit="1" customWidth="1"/>
    <col min="853" max="853" width="13.5703125" bestFit="1" customWidth="1"/>
    <col min="854" max="854" width="12.28515625" bestFit="1" customWidth="1"/>
    <col min="855" max="855" width="22.140625" bestFit="1" customWidth="1"/>
    <col min="856" max="856" width="22.42578125" bestFit="1" customWidth="1"/>
    <col min="857" max="857" width="13.5703125" bestFit="1" customWidth="1"/>
    <col min="858" max="858" width="12.28515625" bestFit="1" customWidth="1"/>
    <col min="859" max="859" width="22.140625" bestFit="1" customWidth="1"/>
    <col min="860" max="860" width="22.42578125" bestFit="1" customWidth="1"/>
    <col min="861" max="861" width="13.5703125" bestFit="1" customWidth="1"/>
    <col min="862" max="862" width="12.28515625" bestFit="1" customWidth="1"/>
    <col min="863" max="863" width="22.140625" bestFit="1" customWidth="1"/>
    <col min="864" max="864" width="22.42578125" bestFit="1" customWidth="1"/>
    <col min="865" max="865" width="13.5703125" bestFit="1" customWidth="1"/>
    <col min="866" max="866" width="12.28515625" bestFit="1" customWidth="1"/>
    <col min="867" max="867" width="22.140625" bestFit="1" customWidth="1"/>
    <col min="868" max="868" width="22.42578125" bestFit="1" customWidth="1"/>
    <col min="869" max="869" width="13.5703125" bestFit="1" customWidth="1"/>
    <col min="870" max="870" width="12.28515625" bestFit="1" customWidth="1"/>
    <col min="871" max="871" width="22.140625" bestFit="1" customWidth="1"/>
    <col min="872" max="872" width="22.42578125" bestFit="1" customWidth="1"/>
    <col min="873" max="873" width="13.5703125" bestFit="1" customWidth="1"/>
    <col min="874" max="874" width="12.28515625" bestFit="1" customWidth="1"/>
    <col min="875" max="875" width="22.140625" bestFit="1" customWidth="1"/>
    <col min="876" max="876" width="22.42578125" bestFit="1" customWidth="1"/>
    <col min="877" max="877" width="13.5703125" bestFit="1" customWidth="1"/>
    <col min="878" max="878" width="12.28515625" bestFit="1" customWidth="1"/>
    <col min="879" max="879" width="22.140625" bestFit="1" customWidth="1"/>
    <col min="880" max="880" width="22.42578125" bestFit="1" customWidth="1"/>
    <col min="881" max="881" width="13.5703125" bestFit="1" customWidth="1"/>
    <col min="882" max="882" width="12.28515625" bestFit="1" customWidth="1"/>
    <col min="883" max="883" width="22.140625" bestFit="1" customWidth="1"/>
    <col min="884" max="884" width="22.42578125" bestFit="1" customWidth="1"/>
    <col min="885" max="885" width="13.5703125" bestFit="1" customWidth="1"/>
    <col min="886" max="886" width="12.28515625" bestFit="1" customWidth="1"/>
    <col min="887" max="887" width="22.140625" bestFit="1" customWidth="1"/>
    <col min="888" max="888" width="22.42578125" bestFit="1" customWidth="1"/>
    <col min="889" max="889" width="13.5703125" bestFit="1" customWidth="1"/>
    <col min="890" max="890" width="12.28515625" bestFit="1" customWidth="1"/>
    <col min="891" max="891" width="22.140625" bestFit="1" customWidth="1"/>
    <col min="892" max="892" width="22.42578125" bestFit="1" customWidth="1"/>
    <col min="893" max="893" width="13.5703125" bestFit="1" customWidth="1"/>
    <col min="894" max="894" width="12.28515625" bestFit="1" customWidth="1"/>
    <col min="895" max="895" width="22.140625" bestFit="1" customWidth="1"/>
    <col min="896" max="896" width="22.42578125" bestFit="1" customWidth="1"/>
    <col min="897" max="897" width="13.5703125" bestFit="1" customWidth="1"/>
    <col min="898" max="898" width="12.28515625" bestFit="1" customWidth="1"/>
    <col min="899" max="899" width="22.140625" bestFit="1" customWidth="1"/>
    <col min="900" max="900" width="22.42578125" bestFit="1" customWidth="1"/>
    <col min="901" max="901" width="13.5703125" bestFit="1" customWidth="1"/>
    <col min="902" max="902" width="12.28515625" bestFit="1" customWidth="1"/>
    <col min="903" max="903" width="22.140625" bestFit="1" customWidth="1"/>
    <col min="904" max="904" width="22.42578125" bestFit="1" customWidth="1"/>
    <col min="905" max="905" width="13.5703125" bestFit="1" customWidth="1"/>
    <col min="906" max="906" width="12.28515625" bestFit="1" customWidth="1"/>
    <col min="907" max="907" width="22.140625" bestFit="1" customWidth="1"/>
    <col min="908" max="908" width="22.42578125" bestFit="1" customWidth="1"/>
    <col min="909" max="909" width="13.5703125" bestFit="1" customWidth="1"/>
    <col min="910" max="910" width="12.28515625" bestFit="1" customWidth="1"/>
    <col min="911" max="911" width="22.140625" bestFit="1" customWidth="1"/>
    <col min="912" max="912" width="22.42578125" bestFit="1" customWidth="1"/>
    <col min="913" max="913" width="13.5703125" bestFit="1" customWidth="1"/>
    <col min="914" max="914" width="12.28515625" bestFit="1" customWidth="1"/>
    <col min="915" max="915" width="22.140625" bestFit="1" customWidth="1"/>
    <col min="916" max="916" width="22.42578125" bestFit="1" customWidth="1"/>
    <col min="917" max="917" width="13.5703125" bestFit="1" customWidth="1"/>
    <col min="918" max="918" width="12.28515625" bestFit="1" customWidth="1"/>
    <col min="919" max="919" width="22.140625" bestFit="1" customWidth="1"/>
    <col min="920" max="920" width="22.42578125" bestFit="1" customWidth="1"/>
    <col min="921" max="921" width="13.5703125" bestFit="1" customWidth="1"/>
    <col min="922" max="922" width="12.28515625" bestFit="1" customWidth="1"/>
    <col min="923" max="923" width="22.140625" bestFit="1" customWidth="1"/>
    <col min="924" max="924" width="22.42578125" bestFit="1" customWidth="1"/>
    <col min="925" max="925" width="13.5703125" bestFit="1" customWidth="1"/>
    <col min="926" max="926" width="12.28515625" bestFit="1" customWidth="1"/>
    <col min="927" max="927" width="22.140625" bestFit="1" customWidth="1"/>
    <col min="928" max="928" width="22.42578125" bestFit="1" customWidth="1"/>
    <col min="929" max="929" width="13.5703125" bestFit="1" customWidth="1"/>
    <col min="930" max="930" width="12.28515625" bestFit="1" customWidth="1"/>
    <col min="931" max="931" width="22.140625" bestFit="1" customWidth="1"/>
    <col min="932" max="932" width="22.42578125" bestFit="1" customWidth="1"/>
    <col min="933" max="933" width="13.5703125" bestFit="1" customWidth="1"/>
    <col min="934" max="934" width="12.28515625" bestFit="1" customWidth="1"/>
    <col min="935" max="935" width="22.140625" bestFit="1" customWidth="1"/>
    <col min="936" max="936" width="22.42578125" bestFit="1" customWidth="1"/>
    <col min="937" max="937" width="13.5703125" bestFit="1" customWidth="1"/>
    <col min="938" max="938" width="12.28515625" bestFit="1" customWidth="1"/>
    <col min="939" max="939" width="22.140625" bestFit="1" customWidth="1"/>
    <col min="940" max="940" width="22.42578125" bestFit="1" customWidth="1"/>
    <col min="941" max="941" width="13.5703125" bestFit="1" customWidth="1"/>
    <col min="942" max="942" width="12.28515625" bestFit="1" customWidth="1"/>
    <col min="943" max="943" width="22.140625" bestFit="1" customWidth="1"/>
    <col min="944" max="944" width="22.42578125" bestFit="1" customWidth="1"/>
    <col min="945" max="945" width="13.5703125" bestFit="1" customWidth="1"/>
    <col min="946" max="946" width="12.28515625" bestFit="1" customWidth="1"/>
    <col min="947" max="947" width="22.140625" bestFit="1" customWidth="1"/>
    <col min="948" max="948" width="22.42578125" bestFit="1" customWidth="1"/>
    <col min="949" max="949" width="13.5703125" bestFit="1" customWidth="1"/>
    <col min="950" max="950" width="12.28515625" bestFit="1" customWidth="1"/>
    <col min="951" max="951" width="22.140625" bestFit="1" customWidth="1"/>
    <col min="952" max="952" width="22.42578125" bestFit="1" customWidth="1"/>
    <col min="953" max="953" width="13.5703125" bestFit="1" customWidth="1"/>
    <col min="954" max="954" width="12.28515625" bestFit="1" customWidth="1"/>
    <col min="955" max="955" width="22.140625" bestFit="1" customWidth="1"/>
    <col min="956" max="956" width="22.42578125" bestFit="1" customWidth="1"/>
    <col min="957" max="957" width="13.5703125" bestFit="1" customWidth="1"/>
    <col min="958" max="958" width="12.28515625" bestFit="1" customWidth="1"/>
    <col min="959" max="959" width="22.140625" bestFit="1" customWidth="1"/>
    <col min="960" max="960" width="22.42578125" bestFit="1" customWidth="1"/>
    <col min="961" max="961" width="13.5703125" bestFit="1" customWidth="1"/>
    <col min="962" max="962" width="12.28515625" bestFit="1" customWidth="1"/>
    <col min="963" max="963" width="22.140625" bestFit="1" customWidth="1"/>
    <col min="964" max="964" width="22.42578125" bestFit="1" customWidth="1"/>
    <col min="965" max="965" width="13.5703125" bestFit="1" customWidth="1"/>
    <col min="966" max="966" width="12.28515625" bestFit="1" customWidth="1"/>
    <col min="967" max="967" width="22.140625" bestFit="1" customWidth="1"/>
    <col min="968" max="968" width="22.42578125" bestFit="1" customWidth="1"/>
    <col min="969" max="969" width="13.5703125" bestFit="1" customWidth="1"/>
    <col min="970" max="970" width="17.42578125" bestFit="1" customWidth="1"/>
    <col min="971" max="971" width="27.140625" bestFit="1" customWidth="1"/>
    <col min="972" max="972" width="27.42578125" bestFit="1" customWidth="1"/>
    <col min="973" max="973" width="18.5703125" bestFit="1" customWidth="1"/>
  </cols>
  <sheetData>
    <row r="3" spans="1:14">
      <c r="A3" s="63" t="s">
        <v>160</v>
      </c>
      <c r="B3" t="s">
        <v>164</v>
      </c>
      <c r="C3" t="s">
        <v>174</v>
      </c>
      <c r="E3" s="63" t="s">
        <v>160</v>
      </c>
      <c r="F3" t="s">
        <v>174</v>
      </c>
      <c r="H3" s="63" t="s">
        <v>160</v>
      </c>
      <c r="I3" t="s">
        <v>174</v>
      </c>
      <c r="K3" t="s">
        <v>10</v>
      </c>
      <c r="L3" t="s">
        <v>175</v>
      </c>
      <c r="M3" t="s">
        <v>176</v>
      </c>
      <c r="N3" t="s">
        <v>181</v>
      </c>
    </row>
    <row r="4" spans="1:14">
      <c r="A4" s="64" t="s">
        <v>166</v>
      </c>
      <c r="B4" s="8">
        <v>154</v>
      </c>
      <c r="C4" s="8">
        <v>27065.5</v>
      </c>
      <c r="E4" s="64" t="s">
        <v>118</v>
      </c>
      <c r="F4" s="8">
        <v>37864</v>
      </c>
      <c r="H4" s="64" t="s">
        <v>13</v>
      </c>
      <c r="I4" s="109">
        <v>31476.5</v>
      </c>
      <c r="K4" t="str">
        <f>H4</f>
        <v>Acessórios</v>
      </c>
      <c r="L4" s="110">
        <f>GETPIVOTDATA("[Measures].[Soma de Total 2]",$H$3,"[tb_vendas_hist].[Categoria]","[tb_vendas_hist].[Categoria].&amp;[Acessórios]")/GETPIVOTDATA("[Measures].[Soma de Total 2]",$H$3)</f>
        <v>0.15173704728715764</v>
      </c>
      <c r="M4" s="110">
        <f>1-L4</f>
        <v>0.84826295271284236</v>
      </c>
      <c r="N4">
        <f>GETPIVOTDATA("[Measures].[Soma de Total 2]",$H$3,"[tb_vendas_hist].[Categoria]","[tb_vendas_hist].[Categoria].&amp;[Acessórios]")</f>
        <v>31476.5</v>
      </c>
    </row>
    <row r="5" spans="1:14">
      <c r="A5" s="64" t="s">
        <v>167</v>
      </c>
      <c r="B5" s="8">
        <v>83</v>
      </c>
      <c r="C5" s="8">
        <v>7502.6</v>
      </c>
      <c r="E5" s="64" t="s">
        <v>119</v>
      </c>
      <c r="F5" s="8">
        <v>49213.9</v>
      </c>
      <c r="H5" s="64" t="s">
        <v>14</v>
      </c>
      <c r="I5" s="109">
        <v>40859.4</v>
      </c>
      <c r="K5" t="str">
        <f t="shared" ref="K5:K6" si="0">H5</f>
        <v>Calçado</v>
      </c>
      <c r="L5" s="42">
        <f>GETPIVOTDATA("[Measures].[Soma de Total 2]",$H$3,"[tb_vendas_hist].[Categoria]","[tb_vendas_hist].[Categoria].&amp;[Calçado]")/GETPIVOTDATA("[Measures].[Soma de Total 2]",$H$3)</f>
        <v>0.19696868171254395</v>
      </c>
      <c r="M5" s="110">
        <f>1-L5</f>
        <v>0.803031318287456</v>
      </c>
      <c r="N5">
        <f>GETPIVOTDATA("[Measures].[Soma de Total 2]",$H$3,"[tb_vendas_hist].[Categoria]","[tb_vendas_hist].[Categoria].&amp;[Calçado]")</f>
        <v>40859.4</v>
      </c>
    </row>
    <row r="6" spans="1:14">
      <c r="A6" s="64" t="s">
        <v>168</v>
      </c>
      <c r="B6" s="8">
        <v>114</v>
      </c>
      <c r="C6" s="8">
        <v>7197.4</v>
      </c>
      <c r="E6" s="64" t="s">
        <v>70</v>
      </c>
      <c r="F6" s="8">
        <v>36204.6</v>
      </c>
      <c r="H6" s="64" t="s">
        <v>12</v>
      </c>
      <c r="I6" s="109">
        <v>135105.20000000001</v>
      </c>
      <c r="K6" t="str">
        <f t="shared" si="0"/>
        <v>Vestuário</v>
      </c>
      <c r="L6" s="42">
        <f>GETPIVOTDATA("[Measures].[Soma de Total 2]",$H$3,"[tb_vendas_hist].[Categoria]","[tb_vendas_hist].[Categoria].&amp;[Vestuário]")/GETPIVOTDATA("[Measures].[Soma de Total 2]",$H$3)</f>
        <v>0.65129427100029846</v>
      </c>
      <c r="M6" s="110">
        <f>1-L6</f>
        <v>0.34870572899970154</v>
      </c>
      <c r="N6">
        <f>GETPIVOTDATA("[Measures].[Soma de Total 2]",$H$3,"[tb_vendas_hist].[Categoria]","[tb_vendas_hist].[Categoria].&amp;[Vestuário]")</f>
        <v>135105.20000000001</v>
      </c>
    </row>
    <row r="7" spans="1:14">
      <c r="A7" s="64" t="s">
        <v>169</v>
      </c>
      <c r="B7" s="8">
        <v>146</v>
      </c>
      <c r="C7" s="8">
        <v>17379.8</v>
      </c>
      <c r="E7" s="64" t="s">
        <v>71</v>
      </c>
      <c r="F7" s="8">
        <v>36468.6</v>
      </c>
      <c r="H7" s="64" t="s">
        <v>161</v>
      </c>
      <c r="I7" s="109">
        <v>207441.1</v>
      </c>
    </row>
    <row r="8" spans="1:14">
      <c r="A8" s="64" t="s">
        <v>170</v>
      </c>
      <c r="B8" s="8">
        <v>114</v>
      </c>
      <c r="C8" s="8">
        <v>20685.5</v>
      </c>
      <c r="E8" s="64" t="s">
        <v>73</v>
      </c>
      <c r="F8" s="8">
        <v>47690</v>
      </c>
    </row>
    <row r="9" spans="1:14">
      <c r="A9" s="64" t="s">
        <v>171</v>
      </c>
      <c r="B9" s="8">
        <v>185</v>
      </c>
      <c r="C9" s="8">
        <v>22586.3</v>
      </c>
      <c r="E9" s="64" t="s">
        <v>161</v>
      </c>
      <c r="F9" s="8">
        <v>207441.1</v>
      </c>
    </row>
    <row r="10" spans="1:14">
      <c r="A10" s="64" t="s">
        <v>172</v>
      </c>
      <c r="B10" s="8">
        <v>133</v>
      </c>
      <c r="C10" s="8">
        <v>18730.099999999999</v>
      </c>
    </row>
    <row r="11" spans="1:14">
      <c r="A11" s="64" t="s">
        <v>173</v>
      </c>
      <c r="B11" s="8">
        <v>147</v>
      </c>
      <c r="C11" s="8">
        <v>21585.8</v>
      </c>
    </row>
    <row r="12" spans="1:14">
      <c r="A12" s="64" t="s">
        <v>177</v>
      </c>
      <c r="B12" s="8">
        <v>151</v>
      </c>
      <c r="C12" s="8">
        <v>19851</v>
      </c>
    </row>
    <row r="13" spans="1:14">
      <c r="A13" s="64" t="s">
        <v>178</v>
      </c>
      <c r="B13" s="8">
        <v>151</v>
      </c>
      <c r="C13" s="8">
        <v>15659.4</v>
      </c>
    </row>
    <row r="14" spans="1:14">
      <c r="A14" s="64" t="s">
        <v>179</v>
      </c>
      <c r="B14" s="8">
        <v>92</v>
      </c>
      <c r="C14" s="8">
        <v>9455.2000000000007</v>
      </c>
    </row>
    <row r="15" spans="1:14">
      <c r="A15" s="64" t="s">
        <v>180</v>
      </c>
      <c r="B15" s="8">
        <v>129</v>
      </c>
      <c r="C15" s="8">
        <v>19742.5</v>
      </c>
    </row>
    <row r="16" spans="1:14">
      <c r="A16" s="64" t="s">
        <v>161</v>
      </c>
      <c r="B16" s="8">
        <v>1599</v>
      </c>
      <c r="C16" s="8">
        <v>207441.1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D809-06A9-4A05-BD08-554A0B4697F5}">
  <dimension ref="A1:I20"/>
  <sheetViews>
    <sheetView showGridLines="0" zoomScale="110" zoomScaleNormal="110" workbookViewId="0">
      <pane ySplit="1" topLeftCell="A2" activePane="bottomLeft" state="frozen"/>
      <selection pane="bottomLeft" activeCell="C9" sqref="C9"/>
    </sheetView>
  </sheetViews>
  <sheetFormatPr defaultColWidth="8.85546875" defaultRowHeight="15" zeroHeight="1"/>
  <cols>
    <col min="1" max="1" width="8.85546875" customWidth="1"/>
    <col min="2" max="2" width="21.85546875" customWidth="1"/>
    <col min="3" max="3" width="34" customWidth="1"/>
    <col min="4" max="4" width="11.7109375" customWidth="1"/>
    <col min="5" max="5" width="21.85546875" customWidth="1"/>
    <col min="6" max="6" width="34" customWidth="1"/>
    <col min="7" max="9" width="8.85546875" customWidth="1"/>
  </cols>
  <sheetData>
    <row r="1" spans="1:9" s="13" customFormat="1" ht="40.15" customHeight="1">
      <c r="A1" s="16"/>
      <c r="B1" s="20" t="s">
        <v>131</v>
      </c>
      <c r="C1" s="18"/>
      <c r="D1" s="18"/>
      <c r="E1" s="18"/>
      <c r="F1" s="18"/>
      <c r="G1" s="18"/>
      <c r="H1" s="18"/>
      <c r="I1" s="18"/>
    </row>
    <row r="2" spans="1:9" s="14" customFormat="1" ht="4.5" customHeight="1">
      <c r="A2" s="17"/>
      <c r="B2" s="17"/>
      <c r="C2" s="17"/>
      <c r="D2" s="17"/>
      <c r="E2" s="17"/>
      <c r="F2" s="17"/>
    </row>
    <row r="3" spans="1:9" ht="4.5" customHeight="1">
      <c r="A3" s="15"/>
      <c r="B3" s="15"/>
      <c r="C3" s="15"/>
      <c r="D3" s="15"/>
      <c r="E3" s="15"/>
      <c r="F3" s="15"/>
    </row>
    <row r="4" spans="1:9" ht="23.25" customHeight="1">
      <c r="A4" s="15"/>
      <c r="B4" s="90" t="s">
        <v>140</v>
      </c>
      <c r="C4" s="90"/>
      <c r="D4" s="15"/>
      <c r="E4" s="90" t="s">
        <v>147</v>
      </c>
      <c r="F4" s="90"/>
    </row>
    <row r="5" spans="1:9" ht="5.25" customHeight="1" thickBot="1"/>
    <row r="6" spans="1:9" ht="24.6" customHeight="1" thickBot="1">
      <c r="B6" s="45" t="s">
        <v>141</v>
      </c>
      <c r="C6" s="44" t="s">
        <v>102</v>
      </c>
      <c r="E6" s="45" t="s">
        <v>146</v>
      </c>
      <c r="F6" s="49">
        <v>44949</v>
      </c>
    </row>
    <row r="7" spans="1:9" ht="24.6" customHeight="1" thickTop="1" thickBot="1">
      <c r="B7" s="45" t="s">
        <v>142</v>
      </c>
      <c r="C7" s="23" t="str">
        <f>IFERROR(VLOOKUP(C6,TB_Produtos[#All],2,FALSE),"")</f>
        <v>Sandália Rasteira</v>
      </c>
      <c r="E7" s="45" t="s">
        <v>149</v>
      </c>
      <c r="F7" s="23" t="str">
        <f>_xlfn.XLOOKUP(WEEKDAY(F6),'Cadastros Auxiliares'!$B$4:$I$4,'Cadastros Auxiliares'!$B$5:$I$5,"")</f>
        <v>Segunda-feira</v>
      </c>
      <c r="G7" s="22"/>
    </row>
    <row r="8" spans="1:9" ht="24.6" customHeight="1" thickTop="1" thickBot="1">
      <c r="B8" s="46" t="s">
        <v>143</v>
      </c>
      <c r="C8" s="21" cm="1">
        <f t="array" ref="C8">_xlfn.XLOOKUP(C6,TB_Produtos[[#All],[Código]],TB_Produtos[[#All],[Tamanho]],"")</f>
        <v>35</v>
      </c>
      <c r="E8" s="46" t="s">
        <v>150</v>
      </c>
      <c r="F8" s="50">
        <f>SUMIF(TB_Vendas[[#All],[Data]],Consultas!$F$6,TB_Vendas[[#All],[Total]])</f>
        <v>146</v>
      </c>
      <c r="G8" s="22"/>
    </row>
    <row r="9" spans="1:9" ht="24.6" customHeight="1" thickTop="1" thickBot="1">
      <c r="B9" s="47" t="s">
        <v>144</v>
      </c>
      <c r="C9" s="23" t="str">
        <f>IFERROR(VLOOKUP($C$6,Produtos!$B$6:$G$66,4,0),"")</f>
        <v>Calçado</v>
      </c>
      <c r="E9" s="48" t="s">
        <v>148</v>
      </c>
      <c r="F9" s="24">
        <f>SUMIF(TB_Vendas[[#All],[Data]],Consultas!$F$6,TB_Vendas[[#All],[Qtd]])</f>
        <v>1</v>
      </c>
      <c r="G9" s="22"/>
    </row>
    <row r="10" spans="1:9" ht="24.6" customHeight="1" thickTop="1" thickBot="1">
      <c r="B10" s="47" t="s">
        <v>151</v>
      </c>
      <c r="C10" s="56">
        <f>_xlfn.XLOOKUP($C$6,Produtos!$B$6:$B$66,Produtos!$G$6:$G$66,"")</f>
        <v>89.9</v>
      </c>
      <c r="G10" s="22"/>
    </row>
    <row r="11" spans="1:9" ht="24.6" customHeight="1" thickTop="1" thickBot="1">
      <c r="B11" s="46" t="s">
        <v>145</v>
      </c>
      <c r="C11" s="21" cm="1">
        <f t="array" ref="C11">_xlfn.XLOOKUP($C$6,TB_Produtos[[#All],[Código]],TB_Produtos[[#All],[Estoque]],"")</f>
        <v>48</v>
      </c>
      <c r="G11" s="22"/>
    </row>
    <row r="12" spans="1:9" ht="23.25" thickTop="1" thickBot="1">
      <c r="B12" s="47" t="s">
        <v>152</v>
      </c>
      <c r="C12" s="21" t="str" cm="1">
        <f t="array" ref="C12">_xlfn.IFS(C11=0,"Estoque Zerado",C11&gt;=C13,"Estoque OK",1,"Rever Estoque")</f>
        <v>Estoque OK</v>
      </c>
      <c r="E12" s="51"/>
    </row>
    <row r="13" spans="1:9" ht="24.75" thickTop="1" thickBot="1">
      <c r="B13" s="48" t="s">
        <v>154</v>
      </c>
      <c r="C13" s="56">
        <f>_xlfn.XLOOKUP(C9,'Cadastros Auxiliares'!G9:G11,'Cadastros Auxiliares'!H9:H11)</f>
        <v>15</v>
      </c>
      <c r="E13" s="52"/>
    </row>
    <row r="14" spans="1:9"/>
    <row r="15" spans="1:9"/>
    <row r="16" spans="1:9"/>
    <row r="17"/>
    <row r="18"/>
    <row r="19"/>
    <row r="20"/>
  </sheetData>
  <mergeCells count="2">
    <mergeCell ref="B4:C4"/>
    <mergeCell ref="E4:F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4864B3-67D5-45F6-83BC-59307DFC7664}">
          <x14:formula1>
            <xm:f>Vendas!$B:$B</xm:f>
          </x14:formula1>
          <xm:sqref>F6</xm:sqref>
        </x14:dataValidation>
        <x14:dataValidation type="list" allowBlank="1" showInputMessage="1" showErrorMessage="1" xr:uid="{386D00EA-C09E-4AF2-85F6-0FFA8584E7FB}">
          <x14:formula1>
            <xm:f>Produtos!$B:$B</xm:f>
          </x14:formula1>
          <xm:sqref>C6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9876-5223-46EA-AB95-1E16683FB374}">
  <sheetPr>
    <tabColor rgb="FFFF0000"/>
  </sheetPr>
  <dimension ref="A2:F7"/>
  <sheetViews>
    <sheetView zoomScaleNormal="100" workbookViewId="0">
      <selection activeCell="F7" sqref="F7"/>
    </sheetView>
  </sheetViews>
  <sheetFormatPr defaultRowHeight="15"/>
  <cols>
    <col min="1" max="1" width="22.5703125" customWidth="1"/>
    <col min="2" max="2" width="25" customWidth="1"/>
    <col min="3" max="3" width="27.28515625" customWidth="1"/>
    <col min="4" max="4" width="3" customWidth="1"/>
    <col min="5" max="5" width="18" bestFit="1" customWidth="1"/>
    <col min="6" max="6" width="21.5703125" bestFit="1" customWidth="1"/>
    <col min="7" max="14" width="17.85546875" customWidth="1"/>
  </cols>
  <sheetData>
    <row r="2" spans="1:6" ht="70.5" customHeight="1"/>
    <row r="3" spans="1:6">
      <c r="A3" s="63" t="s">
        <v>160</v>
      </c>
      <c r="B3" t="s">
        <v>162</v>
      </c>
      <c r="C3" t="s">
        <v>163</v>
      </c>
      <c r="E3" s="63" t="s">
        <v>160</v>
      </c>
      <c r="F3" t="s">
        <v>165</v>
      </c>
    </row>
    <row r="4" spans="1:6" ht="15.75">
      <c r="A4" s="65" t="s">
        <v>12</v>
      </c>
      <c r="B4" s="67">
        <v>1482</v>
      </c>
      <c r="C4" s="66">
        <v>5298.699999999998</v>
      </c>
      <c r="E4" s="64" t="s">
        <v>12</v>
      </c>
      <c r="F4">
        <v>45</v>
      </c>
    </row>
    <row r="5" spans="1:6" ht="15.75">
      <c r="A5" s="65" t="s">
        <v>13</v>
      </c>
      <c r="B5" s="67">
        <v>159</v>
      </c>
      <c r="C5" s="66">
        <v>964.59999999999991</v>
      </c>
      <c r="E5" s="64" t="s">
        <v>13</v>
      </c>
      <c r="F5">
        <v>6</v>
      </c>
    </row>
    <row r="6" spans="1:6" ht="15.75">
      <c r="A6" s="65" t="s">
        <v>14</v>
      </c>
      <c r="B6" s="67">
        <v>350</v>
      </c>
      <c r="C6" s="66">
        <v>1789.4</v>
      </c>
      <c r="E6" s="64" t="s">
        <v>14</v>
      </c>
      <c r="F6">
        <v>9</v>
      </c>
    </row>
    <row r="7" spans="1:6">
      <c r="A7" s="64" t="s">
        <v>161</v>
      </c>
      <c r="B7" s="1">
        <v>1991</v>
      </c>
      <c r="C7" s="2">
        <v>8052.6999999999971</v>
      </c>
      <c r="E7" s="64" t="s">
        <v>161</v>
      </c>
      <c r="F7">
        <v>60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D837-B452-490D-A671-9B37EFAC20E7}">
  <sheetPr>
    <tabColor rgb="FFFF0000"/>
  </sheetPr>
  <dimension ref="A3:K12"/>
  <sheetViews>
    <sheetView workbookViewId="0">
      <selection activeCell="C8" sqref="C8"/>
    </sheetView>
  </sheetViews>
  <sheetFormatPr defaultRowHeight="15"/>
  <cols>
    <col min="1" max="1" width="18" bestFit="1" customWidth="1"/>
    <col min="2" max="2" width="13.5703125" bestFit="1" customWidth="1"/>
    <col min="3" max="3" width="12.28515625" bestFit="1" customWidth="1"/>
    <col min="4" max="4" width="4.85546875" customWidth="1"/>
    <col min="5" max="5" width="18" bestFit="1" customWidth="1"/>
    <col min="6" max="6" width="11.42578125" style="1" bestFit="1" customWidth="1"/>
    <col min="7" max="7" width="10.85546875" style="1" bestFit="1" customWidth="1"/>
    <col min="8" max="8" width="13.5703125" bestFit="1" customWidth="1"/>
    <col min="9" max="9" width="13.28515625" bestFit="1" customWidth="1"/>
    <col min="10" max="77" width="19.5703125" bestFit="1" customWidth="1"/>
    <col min="78" max="78" width="10.7109375" bestFit="1" customWidth="1"/>
  </cols>
  <sheetData>
    <row r="3" spans="1:11">
      <c r="A3" s="63" t="s">
        <v>160</v>
      </c>
      <c r="B3" t="s">
        <v>174</v>
      </c>
      <c r="C3" t="s">
        <v>164</v>
      </c>
      <c r="E3" s="63" t="s">
        <v>160</v>
      </c>
      <c r="F3" s="1" t="s">
        <v>175</v>
      </c>
      <c r="G3" s="1" t="s">
        <v>176</v>
      </c>
      <c r="H3" t="s">
        <v>174</v>
      </c>
    </row>
    <row r="4" spans="1:11">
      <c r="A4" s="64" t="s">
        <v>166</v>
      </c>
      <c r="B4" s="2">
        <v>1750.9</v>
      </c>
      <c r="C4">
        <v>14</v>
      </c>
      <c r="E4" s="64" t="s">
        <v>13</v>
      </c>
      <c r="F4" s="68">
        <v>0.15879092503182729</v>
      </c>
      <c r="G4" s="68">
        <v>0.84120907496817265</v>
      </c>
      <c r="H4" s="2">
        <v>5288.5</v>
      </c>
      <c r="I4" t="str">
        <f>E4</f>
        <v>Acessórios</v>
      </c>
      <c r="J4" s="42">
        <f>GETPIVOTDATA("[Measures].[% Categoria]",$E$3,"[TB_Vendas].[Categoria]","[TB_Vendas].[Categoria].&amp;[Acessórios]")</f>
        <v>0.15879092503182729</v>
      </c>
      <c r="K4" s="42">
        <f>GETPIVOTDATA("[Measures].[% Restante]",$E$3,"[TB_Vendas].[Categoria]","[TB_Vendas].[Categoria].&amp;[Acessórios]")</f>
        <v>0.84120907496817265</v>
      </c>
    </row>
    <row r="5" spans="1:11">
      <c r="A5" s="64" t="s">
        <v>167</v>
      </c>
      <c r="B5" s="2">
        <v>2974.9</v>
      </c>
      <c r="C5">
        <v>15</v>
      </c>
      <c r="E5" s="64" t="s">
        <v>14</v>
      </c>
      <c r="F5" s="68">
        <v>0.10835675338089411</v>
      </c>
      <c r="G5" s="68">
        <v>0.89164324661910588</v>
      </c>
      <c r="H5" s="2">
        <v>3608.8000000000006</v>
      </c>
      <c r="I5" t="str">
        <f>E5</f>
        <v>Calçado</v>
      </c>
      <c r="J5" s="42">
        <f>GETPIVOTDATA("[Measures].[% Categoria]",$E$3,"[TB_Vendas].[Categoria]","[TB_Vendas].[Categoria].&amp;[Calçado]")</f>
        <v>0.10835675338089411</v>
      </c>
      <c r="K5" s="42">
        <f>GETPIVOTDATA("[Measures].[% Restante]",$E$3,"[TB_Vendas].[Categoria]","[TB_Vendas].[Categoria].&amp;[Calçado]")</f>
        <v>0.89164324661910588</v>
      </c>
    </row>
    <row r="6" spans="1:11">
      <c r="A6" s="64" t="s">
        <v>168</v>
      </c>
      <c r="B6" s="2">
        <v>3698.1</v>
      </c>
      <c r="C6">
        <v>26</v>
      </c>
      <c r="E6" s="64" t="s">
        <v>12</v>
      </c>
      <c r="F6" s="68">
        <v>0.73285232158727887</v>
      </c>
      <c r="G6" s="68">
        <v>0.26714767841272113</v>
      </c>
      <c r="H6" s="2">
        <v>24407.499999999996</v>
      </c>
      <c r="I6" t="str">
        <f>E6</f>
        <v>Vestuário</v>
      </c>
      <c r="J6" s="42">
        <f>GETPIVOTDATA("[Measures].[% Categoria]",$E$3,"[TB_Vendas].[Categoria]","[TB_Vendas].[Categoria].&amp;[Vestuário]")</f>
        <v>0.73285232158727887</v>
      </c>
      <c r="K6" s="42">
        <f>GETPIVOTDATA("[Measures].[% Restante]",$E$3,"[TB_Vendas].[Categoria]","[TB_Vendas].[Categoria].&amp;[Vestuário]")</f>
        <v>0.26714767841272113</v>
      </c>
    </row>
    <row r="7" spans="1:11">
      <c r="A7" s="64" t="s">
        <v>169</v>
      </c>
      <c r="B7" s="2">
        <v>3651.0999999999995</v>
      </c>
      <c r="C7">
        <v>28</v>
      </c>
      <c r="E7" s="64" t="s">
        <v>161</v>
      </c>
      <c r="F7" s="68">
        <v>1</v>
      </c>
      <c r="G7" s="68">
        <v>0</v>
      </c>
      <c r="H7" s="2">
        <v>33304.799999999988</v>
      </c>
    </row>
    <row r="8" spans="1:11">
      <c r="A8" s="64" t="s">
        <v>170</v>
      </c>
      <c r="B8" s="2">
        <v>2776.2999999999997</v>
      </c>
      <c r="C8">
        <v>17</v>
      </c>
    </row>
    <row r="9" spans="1:11">
      <c r="A9" s="64" t="s">
        <v>171</v>
      </c>
      <c r="B9" s="2">
        <v>3477.7000000000007</v>
      </c>
      <c r="C9">
        <v>41</v>
      </c>
    </row>
    <row r="10" spans="1:11">
      <c r="A10" s="64" t="s">
        <v>172</v>
      </c>
      <c r="B10" s="2">
        <v>8602.0999999999985</v>
      </c>
      <c r="C10">
        <v>53</v>
      </c>
    </row>
    <row r="11" spans="1:11">
      <c r="A11" s="64" t="s">
        <v>173</v>
      </c>
      <c r="B11" s="2">
        <v>6373.7</v>
      </c>
      <c r="C11">
        <v>56</v>
      </c>
    </row>
    <row r="12" spans="1:11">
      <c r="A12" s="64" t="s">
        <v>161</v>
      </c>
      <c r="B12" s="2">
        <v>33304.799999999988</v>
      </c>
      <c r="C12">
        <v>250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DC0-A65B-4C9D-82C8-12971CC672AB}">
  <sheetPr>
    <tabColor rgb="FFFF0000"/>
  </sheetPr>
  <dimension ref="B1:J20"/>
  <sheetViews>
    <sheetView workbookViewId="0">
      <selection activeCell="E16" sqref="E16"/>
    </sheetView>
  </sheetViews>
  <sheetFormatPr defaultRowHeight="15"/>
  <cols>
    <col min="1" max="1" width="8" customWidth="1"/>
    <col min="2" max="2" width="30.85546875" customWidth="1"/>
    <col min="3" max="9" width="17.42578125" customWidth="1"/>
  </cols>
  <sheetData>
    <row r="1" spans="2:10" s="13" customFormat="1" ht="40.15" customHeight="1">
      <c r="B1" s="36" t="s">
        <v>122</v>
      </c>
      <c r="C1" s="20"/>
      <c r="D1" s="20"/>
      <c r="E1" s="20"/>
      <c r="F1" s="20"/>
      <c r="G1" s="20"/>
      <c r="H1" s="20"/>
      <c r="I1" s="18"/>
      <c r="J1" s="18"/>
    </row>
    <row r="2" spans="2:10" s="14" customFormat="1" ht="4.5" customHeight="1">
      <c r="B2" s="17"/>
      <c r="C2" s="17"/>
      <c r="D2" s="17"/>
      <c r="E2" s="17"/>
      <c r="F2" s="17"/>
      <c r="G2" s="17"/>
    </row>
    <row r="3" spans="2:10" ht="4.5" customHeight="1" thickBot="1">
      <c r="B3" s="15"/>
      <c r="C3" s="15"/>
      <c r="D3" s="15"/>
      <c r="E3" s="15"/>
      <c r="F3" s="15"/>
      <c r="G3" s="15"/>
    </row>
    <row r="4" spans="2:10" ht="22.5" thickBot="1">
      <c r="B4" s="10" t="s">
        <v>30</v>
      </c>
      <c r="C4" s="11">
        <v>1</v>
      </c>
      <c r="D4" s="12">
        <v>2</v>
      </c>
      <c r="E4" s="11">
        <v>3</v>
      </c>
      <c r="F4" s="12">
        <v>4</v>
      </c>
      <c r="G4" s="11">
        <v>5</v>
      </c>
      <c r="H4" s="12">
        <v>6</v>
      </c>
      <c r="I4" s="11">
        <v>7</v>
      </c>
    </row>
    <row r="5" spans="2:10" s="29" customFormat="1" ht="22.5" thickBot="1">
      <c r="B5" s="27" t="s">
        <v>123</v>
      </c>
      <c r="C5" s="28" t="s">
        <v>124</v>
      </c>
      <c r="D5" s="28" t="s">
        <v>125</v>
      </c>
      <c r="E5" s="28" t="s">
        <v>126</v>
      </c>
      <c r="F5" s="28" t="s">
        <v>127</v>
      </c>
      <c r="G5" s="28" t="s">
        <v>128</v>
      </c>
      <c r="H5" s="28" t="s">
        <v>129</v>
      </c>
      <c r="I5" s="28" t="s">
        <v>130</v>
      </c>
    </row>
    <row r="7" spans="2:10" ht="15.75" thickBot="1"/>
    <row r="8" spans="2:10" ht="44.25" thickBot="1">
      <c r="B8" s="33" t="s">
        <v>139</v>
      </c>
      <c r="C8" s="34" t="s">
        <v>13</v>
      </c>
      <c r="D8" s="34" t="s">
        <v>12</v>
      </c>
      <c r="E8" s="34" t="s">
        <v>14</v>
      </c>
      <c r="G8" s="53" t="s">
        <v>10</v>
      </c>
      <c r="H8" s="54" t="s">
        <v>153</v>
      </c>
    </row>
    <row r="9" spans="2:10" ht="18.75" thickBot="1">
      <c r="B9" s="28">
        <v>1</v>
      </c>
      <c r="C9" s="32">
        <v>0</v>
      </c>
      <c r="D9" s="32">
        <v>0.1</v>
      </c>
      <c r="E9" s="35">
        <v>0</v>
      </c>
      <c r="G9" s="28" t="s">
        <v>13</v>
      </c>
      <c r="H9" s="55">
        <v>5</v>
      </c>
    </row>
    <row r="10" spans="2:10" ht="18.75" thickBot="1">
      <c r="B10" s="28">
        <v>2</v>
      </c>
      <c r="C10" s="32">
        <v>0.05</v>
      </c>
      <c r="D10" s="32">
        <v>0.15</v>
      </c>
      <c r="E10" s="35">
        <v>0.1</v>
      </c>
      <c r="G10" s="28" t="s">
        <v>12</v>
      </c>
      <c r="H10" s="55">
        <v>10</v>
      </c>
    </row>
    <row r="11" spans="2:10" ht="18.75" thickBot="1">
      <c r="B11" s="28">
        <v>3</v>
      </c>
      <c r="C11" s="32">
        <v>0.15</v>
      </c>
      <c r="D11" s="32">
        <v>0.2</v>
      </c>
      <c r="E11" s="35">
        <v>0.15</v>
      </c>
      <c r="G11" s="28" t="s">
        <v>14</v>
      </c>
      <c r="H11" s="55">
        <v>15</v>
      </c>
    </row>
    <row r="12" spans="2:10" ht="18.75" thickBot="1">
      <c r="B12" s="28">
        <v>5</v>
      </c>
      <c r="C12" s="32">
        <v>0.25</v>
      </c>
      <c r="D12" s="32">
        <v>0.25</v>
      </c>
      <c r="E12" s="35">
        <v>0.25</v>
      </c>
    </row>
    <row r="13" spans="2:10" ht="18.75" thickBot="1">
      <c r="B13" s="28">
        <v>10</v>
      </c>
      <c r="C13" s="32">
        <v>0.3</v>
      </c>
      <c r="D13" s="32">
        <v>0.3</v>
      </c>
      <c r="E13" s="35">
        <v>0.3</v>
      </c>
      <c r="G13" s="42"/>
    </row>
    <row r="15" spans="2:10" ht="23.25">
      <c r="B15" s="52"/>
      <c r="C15" s="52"/>
      <c r="D15" s="52"/>
      <c r="E15" s="52"/>
      <c r="F15" s="52"/>
    </row>
    <row r="16" spans="2:10" ht="23.25">
      <c r="B16" s="52"/>
      <c r="C16" s="52"/>
      <c r="D16" s="52"/>
      <c r="E16" s="52"/>
      <c r="F16" s="52"/>
    </row>
    <row r="17" spans="2:6" ht="23.25">
      <c r="B17" s="52"/>
      <c r="C17" s="52"/>
      <c r="D17" s="62"/>
      <c r="E17" s="52"/>
      <c r="F17" s="52"/>
    </row>
    <row r="18" spans="2:6" ht="23.25">
      <c r="B18" s="52"/>
      <c r="C18" s="52"/>
      <c r="D18" s="52"/>
      <c r="E18" s="52"/>
      <c r="F18" s="62"/>
    </row>
    <row r="19" spans="2:6" ht="23.25">
      <c r="B19" s="52"/>
      <c r="C19" s="52"/>
      <c r="D19" s="52"/>
      <c r="E19" s="52"/>
      <c r="F19" s="52"/>
    </row>
    <row r="20" spans="2:6" ht="23.25">
      <c r="B20" s="52"/>
      <c r="C20" s="52"/>
      <c r="D20" s="52"/>
      <c r="E20" s="52"/>
      <c r="F20" s="52"/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5722-3723-486A-BB84-BCD96D69865C}">
  <sheetPr>
    <tabColor rgb="FFFF0000"/>
  </sheetPr>
  <dimension ref="A3:B9"/>
  <sheetViews>
    <sheetView workbookViewId="0">
      <selection activeCell="A6" sqref="A6:B6"/>
      <pivotSelection pane="bottomRight" showHeader="1" extendable="1" axis="axisRow" start="2" max="6" activeRow="5" previousRow="5" click="1" r:id="rId1">
        <pivotArea dataOnly="0" fieldPosition="0">
          <references count="1">
            <reference field="0" count="1">
              <x v="0"/>
            </reference>
          </references>
        </pivotArea>
      </pivotSelection>
    </sheetView>
  </sheetViews>
  <sheetFormatPr defaultRowHeight="15"/>
  <cols>
    <col min="1" max="1" width="21.7109375" customWidth="1"/>
    <col min="2" max="2" width="20.140625" customWidth="1"/>
  </cols>
  <sheetData>
    <row r="3" spans="1:2">
      <c r="A3" s="63" t="s">
        <v>160</v>
      </c>
      <c r="B3" t="s">
        <v>174</v>
      </c>
    </row>
    <row r="4" spans="1:2">
      <c r="A4" s="64" t="s">
        <v>70</v>
      </c>
      <c r="B4" s="2">
        <v>3259.7000000000003</v>
      </c>
    </row>
    <row r="5" spans="1:2">
      <c r="A5" s="64" t="s">
        <v>119</v>
      </c>
      <c r="B5" s="2">
        <v>6552.6</v>
      </c>
    </row>
    <row r="6" spans="1:2">
      <c r="A6" s="64" t="s">
        <v>118</v>
      </c>
      <c r="B6" s="2">
        <v>6811.2</v>
      </c>
    </row>
    <row r="7" spans="1:2">
      <c r="A7" s="64" t="s">
        <v>73</v>
      </c>
      <c r="B7" s="2">
        <v>8079.7</v>
      </c>
    </row>
    <row r="8" spans="1:2">
      <c r="A8" s="64" t="s">
        <v>71</v>
      </c>
      <c r="B8" s="2">
        <v>8601.5999999999985</v>
      </c>
    </row>
    <row r="9" spans="1:2">
      <c r="A9" s="64" t="s">
        <v>161</v>
      </c>
      <c r="B9" s="2">
        <v>33304.799999999988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B46"/>
  <sheetViews>
    <sheetView showGridLines="0" showRowColHeaders="0" zoomScaleNormal="100" workbookViewId="0">
      <selection activeCell="DY43" sqref="DY43"/>
    </sheetView>
  </sheetViews>
  <sheetFormatPr defaultColWidth="2" defaultRowHeight="9.75" customHeight="1"/>
  <cols>
    <col min="1" max="16384" width="2" style="5"/>
  </cols>
  <sheetData>
    <row r="1" spans="3:80" ht="9.75" customHeight="1" thickBot="1"/>
    <row r="2" spans="3:80" ht="9.75" customHeight="1">
      <c r="W2" s="73" t="s">
        <v>76</v>
      </c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5"/>
      <c r="AQ2" s="73" t="s">
        <v>77</v>
      </c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5"/>
      <c r="BK2" s="73" t="s">
        <v>78</v>
      </c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5"/>
    </row>
    <row r="3" spans="3:80" ht="9.75" customHeight="1" thickBot="1">
      <c r="W3" s="76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8"/>
      <c r="AQ3" s="76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8"/>
      <c r="BK3" s="76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8"/>
    </row>
    <row r="4" spans="3:80" ht="9.75" customHeight="1">
      <c r="W4" s="91">
        <f>GETPIVOTDATA("Produtos",DN_Produtos!$E$3)</f>
        <v>60</v>
      </c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3"/>
      <c r="AQ4" s="91">
        <f>GETPIVOTDATA("[Measures].[Soma de Qtd]",DN_Vendas!$A$3)</f>
        <v>250</v>
      </c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3"/>
      <c r="BK4" s="100">
        <f>GETPIVOTDATA("[Measures].[Soma de Total]",DN_Vendas!$A$3)</f>
        <v>33304.799999999988</v>
      </c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  <c r="BW4" s="101"/>
      <c r="BX4" s="101"/>
      <c r="BY4" s="101"/>
      <c r="BZ4" s="101"/>
      <c r="CA4" s="101"/>
      <c r="CB4" s="102"/>
    </row>
    <row r="5" spans="3:80" ht="9.75" customHeight="1">
      <c r="W5" s="94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6"/>
      <c r="AQ5" s="94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6"/>
      <c r="BK5" s="103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4"/>
      <c r="BW5" s="104"/>
      <c r="BX5" s="104"/>
      <c r="BY5" s="104"/>
      <c r="BZ5" s="104"/>
      <c r="CA5" s="104"/>
      <c r="CB5" s="105"/>
    </row>
    <row r="6" spans="3:80" ht="9.75" customHeight="1">
      <c r="W6" s="94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6"/>
      <c r="AQ6" s="94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6"/>
      <c r="BK6" s="103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5"/>
    </row>
    <row r="7" spans="3:80" ht="9.75" customHeight="1" thickBot="1">
      <c r="W7" s="97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9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9"/>
      <c r="BK7" s="106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8"/>
    </row>
    <row r="8" spans="3:80" ht="9.75" customHeight="1" thickBot="1"/>
    <row r="9" spans="3:80" ht="9.75" customHeight="1">
      <c r="C9" s="73" t="s">
        <v>79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5"/>
    </row>
    <row r="10" spans="3:80" ht="9.75" customHeight="1" thickBot="1">
      <c r="C10" s="76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8"/>
    </row>
    <row r="11" spans="3:80" ht="9.75" customHeight="1">
      <c r="C11" s="79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1"/>
    </row>
    <row r="12" spans="3:80" ht="9.75" customHeight="1">
      <c r="C12" s="82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4"/>
    </row>
    <row r="13" spans="3:80" ht="9.75" customHeight="1">
      <c r="C13" s="82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4"/>
    </row>
    <row r="14" spans="3:80" ht="9.75" customHeight="1">
      <c r="C14" s="82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4"/>
    </row>
    <row r="15" spans="3:80" ht="9.75" customHeight="1">
      <c r="C15" s="82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4"/>
    </row>
    <row r="16" spans="3:80" ht="9.75" customHeight="1">
      <c r="C16" s="82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4"/>
    </row>
    <row r="17" spans="3:80" ht="9.75" customHeight="1">
      <c r="C17" s="82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4"/>
    </row>
    <row r="18" spans="3:80" ht="9.75" customHeight="1">
      <c r="C18" s="82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4"/>
    </row>
    <row r="19" spans="3:80" ht="9.75" customHeight="1">
      <c r="C19" s="82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4"/>
    </row>
    <row r="20" spans="3:80" ht="9.75" customHeight="1">
      <c r="C20" s="82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4"/>
    </row>
    <row r="21" spans="3:80" ht="9.75" customHeight="1">
      <c r="C21" s="82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4"/>
    </row>
    <row r="22" spans="3:80" ht="9.75" customHeight="1">
      <c r="C22" s="82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4"/>
    </row>
    <row r="23" spans="3:80" ht="9.75" customHeight="1">
      <c r="C23" s="82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4"/>
    </row>
    <row r="24" spans="3:80" ht="9.75" customHeight="1" thickBot="1">
      <c r="C24" s="85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  <c r="BK24" s="86"/>
      <c r="BL24" s="86"/>
      <c r="BM24" s="86"/>
      <c r="BN24" s="86"/>
      <c r="BO24" s="86"/>
      <c r="BP24" s="86"/>
      <c r="BQ24" s="86"/>
      <c r="BR24" s="86"/>
      <c r="BS24" s="86"/>
      <c r="BT24" s="86"/>
      <c r="BU24" s="86"/>
      <c r="BV24" s="86"/>
      <c r="BW24" s="86"/>
      <c r="BX24" s="86"/>
      <c r="BY24" s="86"/>
      <c r="BZ24" s="86"/>
      <c r="CA24" s="86"/>
      <c r="CB24" s="87"/>
    </row>
    <row r="25" spans="3:80" ht="9.75" customHeight="1" thickBot="1"/>
    <row r="26" spans="3:80" ht="9.75" customHeight="1">
      <c r="C26" s="73" t="s">
        <v>80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5"/>
      <c r="AO26" s="6"/>
      <c r="AP26" s="6"/>
      <c r="AQ26" s="73" t="s">
        <v>81</v>
      </c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  <c r="CA26" s="74"/>
      <c r="CB26" s="75"/>
    </row>
    <row r="27" spans="3:80" ht="9.75" customHeight="1" thickBot="1">
      <c r="C27" s="76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8"/>
      <c r="AO27" s="6"/>
      <c r="AP27" s="6"/>
      <c r="AQ27" s="76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8"/>
    </row>
    <row r="28" spans="3:80" ht="9.75" customHeight="1">
      <c r="C28" s="79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1"/>
      <c r="AQ28" s="79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1"/>
    </row>
    <row r="29" spans="3:80" ht="9.75" customHeight="1">
      <c r="C29" s="82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4"/>
      <c r="AQ29" s="82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4"/>
    </row>
    <row r="30" spans="3:80" ht="9.75" customHeight="1">
      <c r="C30" s="82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4"/>
      <c r="AQ30" s="82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4"/>
    </row>
    <row r="31" spans="3:80" ht="9.75" customHeight="1">
      <c r="C31" s="82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4"/>
      <c r="AQ31" s="82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4"/>
    </row>
    <row r="32" spans="3:80" ht="9.75" customHeight="1">
      <c r="C32" s="82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4"/>
      <c r="AQ32" s="82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4"/>
    </row>
    <row r="33" spans="3:80" ht="9.75" customHeight="1">
      <c r="C33" s="82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4"/>
      <c r="AQ33" s="82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4"/>
    </row>
    <row r="34" spans="3:80" ht="9.75" customHeight="1">
      <c r="C34" s="82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4"/>
      <c r="AQ34" s="82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4"/>
    </row>
    <row r="35" spans="3:80" ht="9.75" customHeight="1">
      <c r="C35" s="82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4"/>
      <c r="AQ35" s="82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4"/>
    </row>
    <row r="36" spans="3:80" ht="9.75" customHeight="1">
      <c r="C36" s="82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4"/>
      <c r="AQ36" s="82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4"/>
    </row>
    <row r="37" spans="3:80" ht="9.75" customHeight="1">
      <c r="C37" s="82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4"/>
      <c r="AQ37" s="82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4"/>
    </row>
    <row r="38" spans="3:80" ht="9.75" customHeight="1">
      <c r="C38" s="82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4"/>
      <c r="AQ38" s="82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4"/>
    </row>
    <row r="39" spans="3:80" ht="9.75" customHeight="1">
      <c r="C39" s="82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4"/>
      <c r="AQ39" s="82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4"/>
    </row>
    <row r="40" spans="3:80" ht="9.75" customHeight="1">
      <c r="C40" s="82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4"/>
      <c r="AQ40" s="82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4"/>
    </row>
    <row r="41" spans="3:80" ht="9.75" customHeight="1"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4"/>
      <c r="AQ41" s="82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4"/>
    </row>
    <row r="42" spans="3:80" ht="9.75" customHeight="1"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4"/>
      <c r="AQ42" s="82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4"/>
    </row>
    <row r="43" spans="3:80" ht="9.75" customHeight="1"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4"/>
      <c r="AQ43" s="82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4"/>
    </row>
    <row r="44" spans="3:80" ht="9.75" customHeight="1"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4"/>
      <c r="AQ44" s="82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4"/>
    </row>
    <row r="45" spans="3:80" ht="9.75" customHeight="1"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4"/>
      <c r="AQ45" s="82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4"/>
    </row>
    <row r="46" spans="3:80" ht="9.75" customHeight="1" thickBot="1"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7"/>
      <c r="AQ46" s="85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7"/>
    </row>
  </sheetData>
  <mergeCells count="12">
    <mergeCell ref="W2:AN3"/>
    <mergeCell ref="W4:AN7"/>
    <mergeCell ref="AQ2:BH3"/>
    <mergeCell ref="AQ4:BH7"/>
    <mergeCell ref="BK2:CB3"/>
    <mergeCell ref="BK4:CB7"/>
    <mergeCell ref="C9:CB10"/>
    <mergeCell ref="C11:CB24"/>
    <mergeCell ref="C26:AN27"/>
    <mergeCell ref="C28:AN46"/>
    <mergeCell ref="AQ26:CB27"/>
    <mergeCell ref="AQ28:CB46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64ED-3CCA-4B86-B7AD-698F177971BB}">
  <dimension ref="C2:CB46"/>
  <sheetViews>
    <sheetView showGridLines="0" showRowColHeaders="0" zoomScaleNormal="100" workbookViewId="0">
      <selection activeCell="CT7" sqref="CT7"/>
    </sheetView>
  </sheetViews>
  <sheetFormatPr defaultColWidth="2" defaultRowHeight="9.75" customHeight="1"/>
  <cols>
    <col min="1" max="16384" width="2" style="5"/>
  </cols>
  <sheetData>
    <row r="2" spans="3:80" ht="9.75" customHeight="1"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</row>
    <row r="3" spans="3:80" ht="9.75" customHeight="1"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</row>
    <row r="4" spans="3:80" ht="9.75" customHeight="1"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69"/>
      <c r="BZ4" s="69"/>
      <c r="CA4" s="69"/>
      <c r="CB4" s="69"/>
    </row>
    <row r="5" spans="3:80" ht="9.75" customHeight="1"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/>
      <c r="BX5" s="69"/>
      <c r="BY5" s="69"/>
      <c r="BZ5" s="69"/>
      <c r="CA5" s="69"/>
      <c r="CB5" s="69"/>
    </row>
    <row r="6" spans="3:80" ht="9.75" customHeight="1"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</row>
    <row r="7" spans="3:80" ht="9.75" customHeight="1"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</row>
    <row r="8" spans="3:80" ht="9.75" customHeight="1" thickBot="1"/>
    <row r="9" spans="3:80" ht="9.75" customHeight="1">
      <c r="C9" s="73" t="s">
        <v>79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5"/>
    </row>
    <row r="10" spans="3:80" ht="9.75" customHeight="1" thickBot="1">
      <c r="C10" s="76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8"/>
    </row>
    <row r="11" spans="3:80" ht="9.75" customHeight="1">
      <c r="C11" s="79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1"/>
    </row>
    <row r="12" spans="3:80" ht="9.75" customHeight="1">
      <c r="C12" s="82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4"/>
    </row>
    <row r="13" spans="3:80" ht="9.75" customHeight="1">
      <c r="C13" s="82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4"/>
    </row>
    <row r="14" spans="3:80" ht="9.75" customHeight="1">
      <c r="C14" s="82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4"/>
    </row>
    <row r="15" spans="3:80" ht="9.75" customHeight="1">
      <c r="C15" s="82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4"/>
    </row>
    <row r="16" spans="3:80" ht="9.75" customHeight="1">
      <c r="C16" s="82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4"/>
    </row>
    <row r="17" spans="3:80" ht="9.75" customHeight="1">
      <c r="C17" s="82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4"/>
    </row>
    <row r="18" spans="3:80" ht="9.75" customHeight="1">
      <c r="C18" s="82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4"/>
    </row>
    <row r="19" spans="3:80" ht="9.75" customHeight="1">
      <c r="C19" s="82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4"/>
    </row>
    <row r="20" spans="3:80" ht="9.75" customHeight="1">
      <c r="C20" s="82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4"/>
    </row>
    <row r="21" spans="3:80" ht="9.75" customHeight="1">
      <c r="C21" s="82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4"/>
    </row>
    <row r="22" spans="3:80" ht="9.75" customHeight="1">
      <c r="C22" s="82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4"/>
    </row>
    <row r="23" spans="3:80" ht="9.75" customHeight="1">
      <c r="C23" s="82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4"/>
    </row>
    <row r="24" spans="3:80" ht="9.75" customHeight="1" thickBot="1">
      <c r="C24" s="85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  <c r="BK24" s="86"/>
      <c r="BL24" s="86"/>
      <c r="BM24" s="86"/>
      <c r="BN24" s="86"/>
      <c r="BO24" s="86"/>
      <c r="BP24" s="86"/>
      <c r="BQ24" s="86"/>
      <c r="BR24" s="86"/>
      <c r="BS24" s="86"/>
      <c r="BT24" s="86"/>
      <c r="BU24" s="86"/>
      <c r="BV24" s="86"/>
      <c r="BW24" s="86"/>
      <c r="BX24" s="86"/>
      <c r="BY24" s="86"/>
      <c r="BZ24" s="86"/>
      <c r="CA24" s="86"/>
      <c r="CB24" s="87"/>
    </row>
    <row r="25" spans="3:80" ht="9.75" customHeight="1" thickBot="1"/>
    <row r="26" spans="3:80" ht="9.75" customHeight="1">
      <c r="C26" s="73" t="s">
        <v>80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5"/>
      <c r="AO26" s="6"/>
      <c r="AP26" s="6"/>
      <c r="AQ26" s="73" t="s">
        <v>81</v>
      </c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  <c r="CA26" s="74"/>
      <c r="CB26" s="75"/>
    </row>
    <row r="27" spans="3:80" ht="9.75" customHeight="1" thickBot="1">
      <c r="C27" s="76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8"/>
      <c r="AO27" s="6"/>
      <c r="AP27" s="6"/>
      <c r="AQ27" s="76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8"/>
    </row>
    <row r="28" spans="3:80" ht="9.75" customHeight="1">
      <c r="C28" s="79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1"/>
      <c r="AQ28" s="79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1"/>
    </row>
    <row r="29" spans="3:80" ht="9.75" customHeight="1">
      <c r="C29" s="82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4"/>
      <c r="AQ29" s="82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4"/>
    </row>
    <row r="30" spans="3:80" ht="9.75" customHeight="1">
      <c r="C30" s="82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4"/>
      <c r="AQ30" s="82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4"/>
    </row>
    <row r="31" spans="3:80" ht="9.75" customHeight="1">
      <c r="C31" s="82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4"/>
      <c r="AQ31" s="82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4"/>
    </row>
    <row r="32" spans="3:80" ht="9.75" customHeight="1">
      <c r="C32" s="82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4"/>
      <c r="AQ32" s="82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4"/>
    </row>
    <row r="33" spans="3:80" ht="9.75" customHeight="1">
      <c r="C33" s="82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4"/>
      <c r="AQ33" s="82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4"/>
    </row>
    <row r="34" spans="3:80" ht="9.75" customHeight="1">
      <c r="C34" s="82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4"/>
      <c r="AQ34" s="82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4"/>
    </row>
    <row r="35" spans="3:80" ht="9.75" customHeight="1">
      <c r="C35" s="82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4"/>
      <c r="AQ35" s="82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4"/>
    </row>
    <row r="36" spans="3:80" ht="9.75" customHeight="1">
      <c r="C36" s="82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4"/>
      <c r="AQ36" s="82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4"/>
    </row>
    <row r="37" spans="3:80" ht="9.75" customHeight="1">
      <c r="C37" s="82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4"/>
      <c r="AQ37" s="82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4"/>
    </row>
    <row r="38" spans="3:80" ht="9.75" customHeight="1">
      <c r="C38" s="82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4"/>
      <c r="AQ38" s="82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4"/>
    </row>
    <row r="39" spans="3:80" ht="9.75" customHeight="1">
      <c r="C39" s="82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4"/>
      <c r="AQ39" s="82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4"/>
    </row>
    <row r="40" spans="3:80" ht="9.75" customHeight="1">
      <c r="C40" s="82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4"/>
      <c r="AQ40" s="82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4"/>
    </row>
    <row r="41" spans="3:80" ht="9.75" customHeight="1"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4"/>
      <c r="AQ41" s="82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4"/>
    </row>
    <row r="42" spans="3:80" ht="9.75" customHeight="1"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4"/>
      <c r="AQ42" s="82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4"/>
    </row>
    <row r="43" spans="3:80" ht="9.75" customHeight="1"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4"/>
      <c r="AQ43" s="82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4"/>
    </row>
    <row r="44" spans="3:80" ht="9.75" customHeight="1"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4"/>
      <c r="AQ44" s="82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4"/>
    </row>
    <row r="45" spans="3:80" ht="9.75" customHeight="1"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4"/>
      <c r="AQ45" s="82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4"/>
    </row>
    <row r="46" spans="3:80" ht="9.75" customHeight="1" thickBot="1"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7"/>
      <c r="AQ46" s="85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7"/>
    </row>
  </sheetData>
  <mergeCells count="6">
    <mergeCell ref="C9:CB10"/>
    <mergeCell ref="C11:CB24"/>
    <mergeCell ref="C26:AN27"/>
    <mergeCell ref="AQ26:CB27"/>
    <mergeCell ref="C28:AN46"/>
    <mergeCell ref="AQ28:CB46"/>
  </mergeCells>
  <pageMargins left="0.511811024" right="0.511811024" top="0.78740157499999996" bottom="0.78740157499999996" header="0.31496062000000002" footer="0.31496062000000002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B21C3F93-5E73-42A5-930D-80E9914997CC}">
  <ds:schemaRefs/>
</ds:datastoreItem>
</file>

<file path=customXml/itemProps2.xml><?xml version="1.0" encoding="utf-8"?>
<ds:datastoreItem xmlns:ds="http://schemas.openxmlformats.org/officeDocument/2006/customXml" ds:itemID="{7E0C7BAF-40DC-4B74-98A7-8D734812F189}">
  <ds:schemaRefs/>
</ds:datastoreItem>
</file>

<file path=customXml/itemProps3.xml><?xml version="1.0" encoding="utf-8"?>
<ds:datastoreItem xmlns:ds="http://schemas.openxmlformats.org/officeDocument/2006/customXml" ds:itemID="{14F30766-877F-4CEE-8B61-99D4DA6E0404}">
  <ds:schemaRefs/>
</ds:datastoreItem>
</file>

<file path=customXml/itemProps4.xml><?xml version="1.0" encoding="utf-8"?>
<ds:datastoreItem xmlns:ds="http://schemas.openxmlformats.org/officeDocument/2006/customXml" ds:itemID="{8467EB31-1629-4343-9314-56544F2D7367}">
  <ds:schemaRefs/>
</ds:datastoreItem>
</file>

<file path=customXml/itemProps5.xml><?xml version="1.0" encoding="utf-8"?>
<ds:datastoreItem xmlns:ds="http://schemas.openxmlformats.org/officeDocument/2006/customXml" ds:itemID="{6E87F8A6-5B3C-4ADE-98DB-48C175F0A2B0}">
  <ds:schemaRefs/>
</ds:datastoreItem>
</file>

<file path=customXml/itemProps6.xml><?xml version="1.0" encoding="utf-8"?>
<ds:datastoreItem xmlns:ds="http://schemas.openxmlformats.org/officeDocument/2006/customXml" ds:itemID="{4A8E958C-7F93-4889-B450-DBCB563BE705}">
  <ds:schemaRefs/>
</ds:datastoreItem>
</file>

<file path=customXml/itemProps7.xml><?xml version="1.0" encoding="utf-8"?>
<ds:datastoreItem xmlns:ds="http://schemas.openxmlformats.org/officeDocument/2006/customXml" ds:itemID="{E137AB40-1728-4643-B64A-5DFE56A4798E}">
  <ds:schemaRefs/>
</ds:datastoreItem>
</file>

<file path=customXml/itemProps8.xml><?xml version="1.0" encoding="utf-8"?>
<ds:datastoreItem xmlns:ds="http://schemas.openxmlformats.org/officeDocument/2006/customXml" ds:itemID="{976831BA-0CE6-4B82-881B-24FD45E1155C}">
  <ds:schemaRefs/>
</ds:datastoreItem>
</file>

<file path=customXml/itemProps9.xml><?xml version="1.0" encoding="utf-8"?>
<ds:datastoreItem xmlns:ds="http://schemas.openxmlformats.org/officeDocument/2006/customXml" ds:itemID="{AAC1F453-8408-4469-B348-4E3CADB3F828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05AD533F-A074-4A68-966C-91F37BE6930F}">
  <ds:schemaRefs/>
</ds:datastoreItem>
</file>

<file path=customXml/itemProps11.xml><?xml version="1.0" encoding="utf-8"?>
<ds:datastoreItem xmlns:ds="http://schemas.openxmlformats.org/officeDocument/2006/customXml" ds:itemID="{3200666F-7DBF-4231-8EE5-147368A8938D}">
  <ds:schemaRefs/>
</ds:datastoreItem>
</file>

<file path=customXml/itemProps12.xml><?xml version="1.0" encoding="utf-8"?>
<ds:datastoreItem xmlns:ds="http://schemas.openxmlformats.org/officeDocument/2006/customXml" ds:itemID="{AF8B14FF-8922-4934-90BE-FB8ADF7B6DFA}">
  <ds:schemaRefs/>
</ds:datastoreItem>
</file>

<file path=customXml/itemProps13.xml><?xml version="1.0" encoding="utf-8"?>
<ds:datastoreItem xmlns:ds="http://schemas.openxmlformats.org/officeDocument/2006/customXml" ds:itemID="{F7F45C84-93F0-40C0-AAEC-026738D028EF}">
  <ds:schemaRefs/>
</ds:datastoreItem>
</file>

<file path=customXml/itemProps14.xml><?xml version="1.0" encoding="utf-8"?>
<ds:datastoreItem xmlns:ds="http://schemas.openxmlformats.org/officeDocument/2006/customXml" ds:itemID="{0C89D2D3-2A54-4256-B559-6D5A68D80609}">
  <ds:schemaRefs/>
</ds:datastoreItem>
</file>

<file path=customXml/itemProps15.xml><?xml version="1.0" encoding="utf-8"?>
<ds:datastoreItem xmlns:ds="http://schemas.openxmlformats.org/officeDocument/2006/customXml" ds:itemID="{3AFCE6AC-6D0B-4F0D-B275-D4C390EA08C5}">
  <ds:schemaRefs/>
</ds:datastoreItem>
</file>

<file path=customXml/itemProps16.xml><?xml version="1.0" encoding="utf-8"?>
<ds:datastoreItem xmlns:ds="http://schemas.openxmlformats.org/officeDocument/2006/customXml" ds:itemID="{3D02DAB4-C140-4537-9CC3-60618FCC0BF9}">
  <ds:schemaRefs/>
</ds:datastoreItem>
</file>

<file path=customXml/itemProps17.xml><?xml version="1.0" encoding="utf-8"?>
<ds:datastoreItem xmlns:ds="http://schemas.openxmlformats.org/officeDocument/2006/customXml" ds:itemID="{B196BC9B-AC57-4472-B120-CCFB259CF1D6}">
  <ds:schemaRefs/>
</ds:datastoreItem>
</file>

<file path=customXml/itemProps18.xml><?xml version="1.0" encoding="utf-8"?>
<ds:datastoreItem xmlns:ds="http://schemas.openxmlformats.org/officeDocument/2006/customXml" ds:itemID="{269F9067-0B42-49CC-82C8-7A6937F00797}">
  <ds:schemaRefs/>
</ds:datastoreItem>
</file>

<file path=customXml/itemProps19.xml><?xml version="1.0" encoding="utf-8"?>
<ds:datastoreItem xmlns:ds="http://schemas.openxmlformats.org/officeDocument/2006/customXml" ds:itemID="{921330BF-5B6E-477D-BEB0-662632376C65}">
  <ds:schemaRefs/>
</ds:datastoreItem>
</file>

<file path=customXml/itemProps20.xml><?xml version="1.0" encoding="utf-8"?>
<ds:datastoreItem xmlns:ds="http://schemas.openxmlformats.org/officeDocument/2006/customXml" ds:itemID="{A68092B9-67D3-4B49-BAB9-0FC7EE9CA8B4}">
  <ds:schemaRefs/>
</ds:datastoreItem>
</file>

<file path=customXml/itemProps21.xml><?xml version="1.0" encoding="utf-8"?>
<ds:datastoreItem xmlns:ds="http://schemas.openxmlformats.org/officeDocument/2006/customXml" ds:itemID="{45E22CA7-3BE5-41A4-A5EF-8CB1788556BD}">
  <ds:schemaRefs/>
</ds:datastoreItem>
</file>

<file path=customXml/itemProps22.xml><?xml version="1.0" encoding="utf-8"?>
<ds:datastoreItem xmlns:ds="http://schemas.openxmlformats.org/officeDocument/2006/customXml" ds:itemID="{A07DAA8F-4AD6-4E21-A8EC-3850D91093D6}">
  <ds:schemaRefs/>
</ds:datastoreItem>
</file>

<file path=customXml/itemProps23.xml><?xml version="1.0" encoding="utf-8"?>
<ds:datastoreItem xmlns:ds="http://schemas.openxmlformats.org/officeDocument/2006/customXml" ds:itemID="{B18F7C9A-FFBE-46D8-9E01-AFC69DA621C1}">
  <ds:schemaRefs/>
</ds:datastoreItem>
</file>

<file path=customXml/itemProps24.xml><?xml version="1.0" encoding="utf-8"?>
<ds:datastoreItem xmlns:ds="http://schemas.openxmlformats.org/officeDocument/2006/customXml" ds:itemID="{3F09498E-3556-4D54-8D35-6479C223E2A7}">
  <ds:schemaRefs/>
</ds:datastoreItem>
</file>

<file path=customXml/itemProps25.xml><?xml version="1.0" encoding="utf-8"?>
<ds:datastoreItem xmlns:ds="http://schemas.openxmlformats.org/officeDocument/2006/customXml" ds:itemID="{87532218-C2FA-43EF-944A-2BEB84F7336C}">
  <ds:schemaRefs/>
</ds:datastoreItem>
</file>

<file path=customXml/itemProps26.xml><?xml version="1.0" encoding="utf-8"?>
<ds:datastoreItem xmlns:ds="http://schemas.openxmlformats.org/officeDocument/2006/customXml" ds:itemID="{0EBC80FF-FDB4-4C77-AE28-F97A1BB7DDA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3</vt:i4>
      </vt:variant>
    </vt:vector>
  </HeadingPairs>
  <TitlesOfParts>
    <vt:vector size="16" baseType="lpstr">
      <vt:lpstr>Menu</vt:lpstr>
      <vt:lpstr>Produtos</vt:lpstr>
      <vt:lpstr>Vendedores</vt:lpstr>
      <vt:lpstr>Vendas</vt:lpstr>
      <vt:lpstr>Vendas histórico</vt:lpstr>
      <vt:lpstr>DN_Vendas_Hist</vt:lpstr>
      <vt:lpstr>Consultas</vt:lpstr>
      <vt:lpstr>DN_Produtos</vt:lpstr>
      <vt:lpstr>DN_Vendas</vt:lpstr>
      <vt:lpstr>Cadastros Auxiliares</vt:lpstr>
      <vt:lpstr>DN_Vendedores</vt:lpstr>
      <vt:lpstr>Dashboard</vt:lpstr>
      <vt:lpstr>Dashboard Histórico</vt:lpstr>
      <vt:lpstr>Desc_Categorias</vt:lpstr>
      <vt:lpstr>Desc_Quantidades</vt:lpstr>
      <vt:lpstr>Desc_TabelaToda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2026-06-07T02:08:40Z</dcterms:modified>
</cp:coreProperties>
</file>