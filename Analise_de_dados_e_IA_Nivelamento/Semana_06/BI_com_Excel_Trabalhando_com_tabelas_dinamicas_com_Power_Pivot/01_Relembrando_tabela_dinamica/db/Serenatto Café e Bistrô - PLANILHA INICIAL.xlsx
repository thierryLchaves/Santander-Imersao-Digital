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6\BI_com_Excel_Trabalhando_com_tabelas_dinamicas_com_Power_Pivot\01_Relembrando_tabela_dinamica\db\"/>
    </mc:Choice>
  </mc:AlternateContent>
  <xr:revisionPtr revIDLastSave="0" documentId="13_ncr:1_{325F5126-50B7-4928-816C-A9236DBB3CCD}" xr6:coauthVersionLast="47" xr6:coauthVersionMax="47" xr10:uidLastSave="{00000000-0000-0000-0000-000000000000}"/>
  <bookViews>
    <workbookView xWindow="-28920" yWindow="-4080" windowWidth="29040" windowHeight="15720" tabRatio="781" xr2:uid="{87BE7180-3E81-4FE5-B433-FFDBA552102C}"/>
  </bookViews>
  <sheets>
    <sheet name="Dinâmica" sheetId="6" r:id="rId1"/>
    <sheet name="Produtos" sheetId="2" r:id="rId2"/>
    <sheet name="Fornecedor" sheetId="3" r:id="rId3"/>
    <sheet name="Entradas" sheetId="4" r:id="rId4"/>
    <sheet name="Saídas" sheetId="5" r:id="rId5"/>
  </sheets>
  <definedNames>
    <definedName name="CriteriosConsultaProduto">#REF!</definedName>
    <definedName name="Lista_Produtos">TB_Produtos[[#All],[Produto]]</definedName>
  </definedNames>
  <calcPr calcId="191028"/>
  <pivotCaches>
    <pivotCache cacheId="11" r:id="rId6"/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4" l="1" a="1"/>
  <c r="G13" i="4" s="1"/>
  <c r="E60" i="5" a="1"/>
  <c r="F60" i="5" s="1"/>
  <c r="F18" i="4" a="1"/>
  <c r="G18" i="4" s="1"/>
  <c r="E59" i="5" a="1"/>
  <c r="F59" i="5" s="1"/>
  <c r="E56" i="5" a="1"/>
  <c r="F56" i="5" s="1"/>
  <c r="E51" i="5" a="1"/>
  <c r="F51" i="5" s="1"/>
  <c r="E47" i="5" a="1"/>
  <c r="F47" i="5" s="1"/>
  <c r="E37" i="5" a="1"/>
  <c r="F37" i="5" s="1"/>
  <c r="E31" i="5" a="1"/>
  <c r="F31" i="5" s="1"/>
  <c r="E22" i="5" a="1"/>
  <c r="F22" i="5" s="1"/>
  <c r="F56" i="4" a="1"/>
  <c r="G56" i="4" s="1"/>
  <c r="F50" i="4" a="1"/>
  <c r="G50" i="4" s="1"/>
  <c r="F46" i="4" a="1"/>
  <c r="G46" i="4" s="1"/>
  <c r="F32" i="4" a="1"/>
  <c r="G32" i="4" s="1"/>
  <c r="E15" i="5" a="1"/>
  <c r="F15" i="5" s="1"/>
  <c r="E8" i="5" a="1"/>
  <c r="F8" i="5" s="1"/>
  <c r="F9" i="4" a="1"/>
  <c r="G9" i="4" s="1"/>
  <c r="E49" i="5" a="1"/>
  <c r="F49" i="5" s="1"/>
  <c r="F49" i="4" a="1"/>
  <c r="G49" i="4" s="1"/>
  <c r="E45" i="5" a="1"/>
  <c r="F45" i="5" s="1"/>
  <c r="F44" i="4" a="1"/>
  <c r="G44" i="4" s="1"/>
  <c r="E39" i="5" a="1"/>
  <c r="F39" i="5" s="1"/>
  <c r="F38" i="4" a="1"/>
  <c r="G38" i="4" s="1"/>
  <c r="E36" i="5" a="1"/>
  <c r="F36" i="5" s="1"/>
  <c r="F36" i="4" a="1"/>
  <c r="G36" i="4" s="1"/>
  <c r="E27" i="5" a="1"/>
  <c r="F27" i="5" s="1"/>
  <c r="F29" i="4" a="1"/>
  <c r="G29" i="4" s="1"/>
  <c r="E23" i="5" a="1"/>
  <c r="F23" i="5" s="1"/>
  <c r="F23" i="4" a="1"/>
  <c r="G23" i="4" s="1"/>
  <c r="E16" i="5" a="1"/>
  <c r="F16" i="5" s="1"/>
  <c r="F19" i="4" a="1"/>
  <c r="G19" i="4" s="1"/>
  <c r="E12" i="5" a="1"/>
  <c r="F12" i="5" s="1"/>
  <c r="E9" i="5" a="1"/>
  <c r="F9" i="5" s="1"/>
  <c r="F8" i="4" a="1"/>
  <c r="G8" i="4" s="1"/>
  <c r="E52" i="5" a="1"/>
  <c r="F52" i="5" s="1"/>
  <c r="F52" i="4" a="1"/>
  <c r="G52" i="4" s="1"/>
  <c r="E48" i="5" a="1"/>
  <c r="F48" i="5" s="1"/>
  <c r="E38" i="5" a="1"/>
  <c r="F38" i="5" s="1"/>
  <c r="E35" i="5" a="1"/>
  <c r="F35" i="5" s="1"/>
  <c r="E32" i="5" a="1"/>
  <c r="F32" i="5" s="1"/>
  <c r="E28" i="5" a="1"/>
  <c r="F28" i="5" s="1"/>
  <c r="E17" i="5" a="1"/>
  <c r="F17" i="5" s="1"/>
  <c r="E13" i="5" a="1"/>
  <c r="F13" i="5" s="1"/>
  <c r="F57" i="4" a="1"/>
  <c r="G57" i="4" s="1"/>
  <c r="F47" i="4" a="1"/>
  <c r="G47" i="4" s="1"/>
  <c r="F41" i="4" a="1"/>
  <c r="G41" i="4" s="1"/>
  <c r="F37" i="4" a="1"/>
  <c r="G37" i="4" s="1"/>
  <c r="F33" i="4" a="1"/>
  <c r="G33" i="4" s="1"/>
  <c r="F24" i="4" a="1"/>
  <c r="G24" i="4" s="1"/>
  <c r="F20" i="4" a="1"/>
  <c r="G20" i="4" s="1"/>
  <c r="F14" i="4" a="1"/>
  <c r="G14" i="4" s="1"/>
  <c r="F26" i="4" a="1"/>
  <c r="G26" i="4" s="1"/>
  <c r="F54" i="4" a="1"/>
  <c r="G54" i="4" s="1"/>
  <c r="E30" i="5" l="1" a="1"/>
  <c r="F30" i="5" s="1"/>
  <c r="E62" i="5" a="1"/>
  <c r="F62" i="5" s="1"/>
  <c r="E42" i="5" a="1"/>
  <c r="F42" i="5" s="1"/>
  <c r="F59" i="4" a="1"/>
  <c r="G59" i="4" s="1"/>
  <c r="F58" i="4" a="1"/>
  <c r="G58" i="4" s="1"/>
  <c r="E6" i="5" l="1" a="1"/>
  <c r="E11" i="5" l="1" a="1"/>
  <c r="E7" i="5" a="1"/>
  <c r="E10" i="5" a="1"/>
  <c r="E14" i="5" a="1"/>
  <c r="E18" i="5" a="1"/>
  <c r="E19" i="5" a="1"/>
  <c r="E20" i="5" a="1"/>
  <c r="E21" i="5" a="1"/>
  <c r="E24" i="5" a="1"/>
  <c r="E25" i="5" a="1"/>
  <c r="E26" i="5" a="1"/>
  <c r="E29" i="5" a="1"/>
  <c r="E33" i="5" a="1"/>
  <c r="E34" i="5" a="1"/>
  <c r="E40" i="5" a="1"/>
  <c r="E41" i="5" a="1"/>
  <c r="E43" i="5" a="1"/>
  <c r="E44" i="5" a="1"/>
  <c r="E46" i="5" a="1"/>
  <c r="E50" i="5" a="1"/>
  <c r="E53" i="5" a="1"/>
  <c r="E54" i="5" a="1"/>
  <c r="E55" i="5" a="1"/>
  <c r="E57" i="5" a="1"/>
  <c r="E58" i="5" a="1"/>
  <c r="E61" i="5" a="1"/>
  <c r="F6" i="5" l="1"/>
  <c r="F7" i="5"/>
  <c r="F10" i="5"/>
  <c r="F11" i="5"/>
  <c r="F14" i="5"/>
  <c r="F18" i="5"/>
  <c r="F19" i="5"/>
  <c r="F20" i="5"/>
  <c r="F21" i="5"/>
  <c r="F24" i="5"/>
  <c r="F25" i="5"/>
  <c r="F26" i="5"/>
  <c r="F29" i="5"/>
  <c r="F33" i="5"/>
  <c r="F34" i="5"/>
  <c r="F40" i="5"/>
  <c r="F41" i="5"/>
  <c r="F43" i="5"/>
  <c r="F44" i="5"/>
  <c r="F46" i="5"/>
  <c r="F50" i="5"/>
  <c r="F53" i="5"/>
  <c r="F54" i="5"/>
  <c r="F55" i="5"/>
  <c r="F57" i="5"/>
  <c r="F58" i="5"/>
  <c r="F61" i="5"/>
  <c r="F6" i="4" a="1"/>
  <c r="G6" i="4" s="1"/>
  <c r="F7" i="4" a="1"/>
  <c r="G7" i="4" s="1"/>
  <c r="F10" i="4" a="1"/>
  <c r="G10" i="4" s="1"/>
  <c r="F11" i="4" a="1"/>
  <c r="G11" i="4" s="1"/>
  <c r="F12" i="4" a="1"/>
  <c r="G12" i="4" s="1"/>
  <c r="F15" i="4" a="1"/>
  <c r="G15" i="4" s="1"/>
  <c r="F16" i="4" a="1"/>
  <c r="G16" i="4" s="1"/>
  <c r="F17" i="4" a="1"/>
  <c r="G17" i="4" s="1"/>
  <c r="F21" i="4" a="1"/>
  <c r="G21" i="4" s="1"/>
  <c r="F22" i="4" a="1"/>
  <c r="G22" i="4" s="1"/>
  <c r="F25" i="4" a="1"/>
  <c r="G25" i="4" s="1"/>
  <c r="F27" i="4" a="1"/>
  <c r="G27" i="4" s="1"/>
  <c r="F28" i="4" a="1"/>
  <c r="G28" i="4" s="1"/>
  <c r="F30" i="4" a="1"/>
  <c r="G30" i="4" s="1"/>
  <c r="F31" i="4" a="1"/>
  <c r="G31" i="4" s="1"/>
  <c r="F34" i="4" a="1"/>
  <c r="G34" i="4" s="1"/>
  <c r="F35" i="4" a="1"/>
  <c r="G35" i="4" s="1"/>
  <c r="F39" i="4" a="1"/>
  <c r="G39" i="4" s="1"/>
  <c r="F40" i="4" a="1"/>
  <c r="G40" i="4" s="1"/>
  <c r="F42" i="4" a="1"/>
  <c r="G42" i="4" s="1"/>
  <c r="F43" i="4" a="1"/>
  <c r="G43" i="4" s="1"/>
  <c r="F45" i="4" a="1"/>
  <c r="G45" i="4" s="1"/>
  <c r="F48" i="4" a="1"/>
  <c r="G48" i="4" s="1"/>
  <c r="F51" i="4" a="1"/>
  <c r="G51" i="4" s="1"/>
  <c r="F53" i="4" a="1"/>
  <c r="G53" i="4" s="1"/>
  <c r="F55" i="4" a="1"/>
  <c r="G55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<sst xmlns="http://schemas.openxmlformats.org/spreadsheetml/2006/main" count="305" uniqueCount="73">
  <si>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</si>
  <si>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</si>
  <si>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</si>
  <si>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</si>
  <si>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</si>
  <si>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</si>
  <si>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</si>
  <si>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</si>
  <si>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</si>
  <si>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</si>
  <si>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</si>
  <si>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</si>
  <si>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</si>
  <si>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</si>
  <si>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</si>
  <si>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</si>
  <si>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</si>
  <si>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</si>
  <si>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</si>
  <si>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</si>
  <si>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</si>
  <si>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</si>
  <si>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</si>
  <si>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</si>
  <si>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</si>
  <si>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</si>
  <si>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</si>
  <si>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</si>
  <si>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</si>
  <si>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</si>
  <si>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</si>
  <si>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</si>
  <si>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</si>
  <si>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</si>
  <si>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</si>
  <si>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</si>
  <si>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</si>
  <si>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</si>
  <si>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</si>
  <si>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</si>
  <si>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</si>
  <si>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</si>
  <si>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</si>
  <si>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</si>
  <si>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</si>
  <si>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</si>
  <si>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</si>
  <si>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</si>
  <si>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</si>
  <si>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</si>
  <si>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</si>
  <si>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</si>
  <si>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</si>
  <si>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</si>
  <si>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</si>
  <si>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</si>
  <si>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</si>
  <si>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</si>
  <si>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</si>
  <si>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</si>
  <si>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</si>
  <si>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</si>
  <si>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</si>
  <si>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</si>
  <si>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Valor da Compra</t>
  </si>
  <si>
    <t>Controle de Saídas</t>
  </si>
  <si>
    <t>Quantidade Vendida</t>
  </si>
  <si>
    <t>Valor de Venda</t>
  </si>
  <si>
    <t>Rótulos de Linha</t>
  </si>
  <si>
    <t>Total Geral</t>
  </si>
  <si>
    <t>Soma de Estoque Mínimo</t>
  </si>
  <si>
    <t>Soma de Custo Unitário</t>
  </si>
  <si>
    <t>Soma de Valor da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</si>
</sst>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Barlow"/>
    </font>
    <font>
      <b/>
      <sz val="24"/>
      <color theme="0"/>
      <name val="Barlow ExtraBold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Barlow"/>
    </font>
  </fonts>
  <fills count="5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2" borderId="0" xfId="0" applyFill="1"/>
    <xf numFmtId="44" fontId="0" fillId="2" borderId="0" xfId="1" applyFont="1" applyFill="1"/>
    <xf numFmtId="0" fontId="0" fillId="4" borderId="0" xfId="0" applyFill="1"/>
    <xf numFmtId="44" fontId="0" fillId="4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 applyFill="1" applyBorder="1"/>
    <xf numFmtId="0" fontId="7" fillId="2" borderId="0" xfId="0" applyFont="1" applyFill="1" applyAlignment="1">
      <alignment vertical="center"/>
    </xf>
    <xf numFmtId="44" fontId="0" fillId="2" borderId="0" xfId="1" applyFont="1" applyFill="1" applyAlignment="1"/>
    <xf numFmtId="14" fontId="4" fillId="3" borderId="0" xfId="0" applyNumberFormat="1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14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1" applyNumberFormat="1" applyFont="1" applyFill="1" applyBorder="1" applyAlignment="1">
      <alignment horizontal="center"/>
    </xf>
    <xf numFmtId="164" fontId="10" fillId="0" borderId="0" xfId="0" applyNumberFormat="1" applyFont="1"/>
    <xf numFmtId="14" fontId="6" fillId="0" borderId="0" xfId="0" applyNumberFormat="1" applyFont="1" applyAlignment="1">
      <alignment horizontal="right"/>
    </xf>
    <xf numFmtId="0" fontId="6" fillId="0" borderId="0" xfId="1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64" fontId="10" fillId="0" borderId="0" xfId="1" applyNumberFormat="1" applyFont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Hyperlink" xfId="2" xr:uid="{00000000-000B-0000-0000-000008000000}"/>
    <cellStyle name="Moeda" xfId="1" builtinId="4"/>
    <cellStyle name="Normal" xfId="0" builtinId="0"/>
  </cellStyles>
  <dxfs count="29"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02060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28"/>
    </tableStyle>
  </tableStyles>
  <colors>
    <mruColors>
      <color rgb="FFB39563"/>
      <color rgb="FF313829"/>
      <color rgb="FF1A261A"/>
      <color rgb="FF787674"/>
      <color rgb="FF373A3A"/>
      <color rgb="FF343C2C"/>
      <color rgb="FFEBC282"/>
      <color rgb="FFE7B667"/>
      <color rgb="FFA58C5F"/>
      <color rgb="FFB29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1094510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2</xdr:col>
      <xdr:colOff>983674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1130186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1138895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erry-G15" refreshedDate="46186.528132638887" createdVersion="8" refreshedVersion="8" minRefreshableVersion="3" recordCount="27" xr:uid="{E86891A8-FF30-4612-971F-8104C210CE71}">
  <cacheSource type="worksheet">
    <worksheetSource name="TB_Produtos"/>
  </cacheSource>
  <cacheFields count="5">
    <cacheField name="Produto" numFmtId="0">
      <sharedItems count="27">
        <s v="Café"/>
        <s v="Pão"/>
        <s v="Coxinha"/>
        <s v="Esfiha"/>
        <s v="Risoles"/>
        <s v="Empada"/>
        <s v="Quibe"/>
        <s v="Chá"/>
        <s v="Manteiga"/>
        <s v="Requeijão"/>
        <s v="Chocolate Quente"/>
        <s v="Leite "/>
        <s v="Açúcar"/>
        <s v="Mini Pizza"/>
        <s v="Chantilly"/>
        <s v="Pão de Queijo"/>
        <s v="Suco de Laranja"/>
        <s v="Hamburguer"/>
        <s v="Frango"/>
        <s v="Água "/>
        <s v="Cerveja"/>
        <s v="Queijo"/>
        <s v="Presunto"/>
        <s v="Mortadela"/>
        <s v="Peito de Peru"/>
        <s v="Refrigerante"/>
        <s v="Enroladinho"/>
      </sharedItems>
    </cacheField>
    <cacheField name="Unidade de Medida" numFmtId="0">
      <sharedItems count="5">
        <s v="Unidade "/>
        <s v="Kg"/>
        <s v="Unidade"/>
        <s v="Caixa"/>
        <s v="Embalagem"/>
      </sharedItems>
    </cacheField>
    <cacheField name="Estoque Mínimo" numFmtId="0">
      <sharedItems containsSemiMixedTypes="0" containsString="0" containsNumber="1" containsInteger="1" minValue="2" maxValue="50" count="7">
        <n v="50"/>
        <n v="5"/>
        <n v="15"/>
        <n v="10"/>
        <n v="12"/>
        <n v="4"/>
        <n v="2"/>
      </sharedItems>
    </cacheField>
    <cacheField name="Custo Unitário" numFmtId="164">
      <sharedItems containsSemiMixedTypes="0" containsString="0" containsNumber="1" minValue="0.25" maxValue="10" count="11">
        <n v="2"/>
        <n v="1.5"/>
        <n v="0.5"/>
        <n v="1"/>
        <n v="0.25"/>
        <n v="10"/>
        <n v="0.75"/>
        <n v="8"/>
        <n v="4.5"/>
        <n v="2.5"/>
        <n v="3"/>
      </sharedItems>
    </cacheField>
    <cacheField name="Preço Unitário" numFmtId="164">
      <sharedItems containsSemiMixedTypes="0" containsString="0" containsNumber="1" minValue="1" maxValue="15" count="15">
        <n v="6"/>
        <n v="3"/>
        <n v="6.5"/>
        <n v="4.5"/>
        <n v="4"/>
        <n v="2"/>
        <n v="1"/>
        <n v="8.5"/>
        <n v="5"/>
        <n v="1.5"/>
        <n v="7.5"/>
        <n v="10"/>
        <n v="15"/>
        <n v="8"/>
        <n v="3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erry-G15" refreshedDate="46186.537968287033" createdVersion="8" refreshedVersion="8" minRefreshableVersion="3" recordCount="54" xr:uid="{1EC1B05B-F13C-4596-A03F-3929A83FEB8A}">
  <cacheSource type="worksheet">
    <worksheetSource name="TB_Entradas"/>
  </cacheSource>
  <cacheFields count="6">
    <cacheField name="Data" numFmtId="14">
      <sharedItems containsSemiMixedTypes="0" containsNonDate="0" containsDate="1" containsString="0" minDate="2022-01-05T00:00:00" maxDate="2022-12-16T00:00:00"/>
    </cacheField>
    <cacheField name="Produto" numFmtId="0">
      <sharedItems count="11">
        <s v="Café"/>
        <s v="Coxinha"/>
        <s v="Chocolate Quente"/>
        <s v="Pão de Queijo"/>
        <s v="Cerveja"/>
        <s v="Refrigerante"/>
        <s v="Suco de Laranja"/>
        <s v="Hamburguer"/>
        <s v="Mini Pizza"/>
        <s v="Frango"/>
        <s v="Água "/>
      </sharedItems>
    </cacheField>
    <cacheField name="Fornecedor" numFmtId="0">
      <sharedItems/>
    </cacheField>
    <cacheField name="Quantidade Comprada" numFmtId="0">
      <sharedItems containsSemiMixedTypes="0" containsString="0" containsNumber="1" containsInteger="1" minValue="15" maxValue="250"/>
    </cacheField>
    <cacheField name="Custo Unitário" numFmtId="164">
      <sharedItems containsSemiMixedTypes="0" containsString="0" containsNumber="1" minValue="0.25" maxValue="8"/>
    </cacheField>
    <cacheField name="Valor da Compra" numFmtId="164">
      <sharedItems containsSemiMixedTypes="0" containsString="0" containsNumber="1" minValue="5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x v="0"/>
    <x v="0"/>
  </r>
  <r>
    <x v="1"/>
    <x v="1"/>
    <x v="1"/>
    <x v="1"/>
    <x v="1"/>
  </r>
  <r>
    <x v="2"/>
    <x v="1"/>
    <x v="0"/>
    <x v="2"/>
    <x v="2"/>
  </r>
  <r>
    <x v="3"/>
    <x v="1"/>
    <x v="0"/>
    <x v="3"/>
    <x v="3"/>
  </r>
  <r>
    <x v="4"/>
    <x v="1"/>
    <x v="0"/>
    <x v="3"/>
    <x v="4"/>
  </r>
  <r>
    <x v="5"/>
    <x v="1"/>
    <x v="0"/>
    <x v="3"/>
    <x v="4"/>
  </r>
  <r>
    <x v="6"/>
    <x v="1"/>
    <x v="0"/>
    <x v="2"/>
    <x v="4"/>
  </r>
  <r>
    <x v="7"/>
    <x v="2"/>
    <x v="2"/>
    <x v="2"/>
    <x v="5"/>
  </r>
  <r>
    <x v="8"/>
    <x v="2"/>
    <x v="2"/>
    <x v="4"/>
    <x v="6"/>
  </r>
  <r>
    <x v="9"/>
    <x v="2"/>
    <x v="2"/>
    <x v="4"/>
    <x v="6"/>
  </r>
  <r>
    <x v="10"/>
    <x v="3"/>
    <x v="3"/>
    <x v="4"/>
    <x v="7"/>
  </r>
  <r>
    <x v="11"/>
    <x v="3"/>
    <x v="4"/>
    <x v="5"/>
    <x v="8"/>
  </r>
  <r>
    <x v="12"/>
    <x v="1"/>
    <x v="5"/>
    <x v="0"/>
    <x v="5"/>
  </r>
  <r>
    <x v="13"/>
    <x v="2"/>
    <x v="3"/>
    <x v="3"/>
    <x v="8"/>
  </r>
  <r>
    <x v="14"/>
    <x v="2"/>
    <x v="6"/>
    <x v="6"/>
    <x v="9"/>
  </r>
  <r>
    <x v="15"/>
    <x v="1"/>
    <x v="3"/>
    <x v="4"/>
    <x v="10"/>
  </r>
  <r>
    <x v="16"/>
    <x v="2"/>
    <x v="1"/>
    <x v="6"/>
    <x v="11"/>
  </r>
  <r>
    <x v="17"/>
    <x v="1"/>
    <x v="6"/>
    <x v="7"/>
    <x v="12"/>
  </r>
  <r>
    <x v="18"/>
    <x v="1"/>
    <x v="6"/>
    <x v="8"/>
    <x v="12"/>
  </r>
  <r>
    <x v="19"/>
    <x v="4"/>
    <x v="1"/>
    <x v="4"/>
    <x v="5"/>
  </r>
  <r>
    <x v="20"/>
    <x v="4"/>
    <x v="1"/>
    <x v="6"/>
    <x v="13"/>
  </r>
  <r>
    <x v="21"/>
    <x v="1"/>
    <x v="6"/>
    <x v="3"/>
    <x v="1"/>
  </r>
  <r>
    <x v="22"/>
    <x v="1"/>
    <x v="6"/>
    <x v="9"/>
    <x v="14"/>
  </r>
  <r>
    <x v="23"/>
    <x v="1"/>
    <x v="6"/>
    <x v="1"/>
    <x v="1"/>
  </r>
  <r>
    <x v="24"/>
    <x v="1"/>
    <x v="6"/>
    <x v="10"/>
    <x v="3"/>
  </r>
  <r>
    <x v="25"/>
    <x v="2"/>
    <x v="3"/>
    <x v="0"/>
    <x v="13"/>
  </r>
  <r>
    <x v="26"/>
    <x v="1"/>
    <x v="3"/>
    <x v="4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d v="2022-01-05T00:00:00"/>
    <x v="0"/>
    <s v="Mercado Express"/>
    <n v="100"/>
    <n v="2"/>
    <n v="200"/>
  </r>
  <r>
    <d v="2022-01-05T00:00:00"/>
    <x v="1"/>
    <s v="Salgados Gran"/>
    <n v="100"/>
    <n v="0.5"/>
    <n v="50"/>
  </r>
  <r>
    <d v="2022-01-15T00:00:00"/>
    <x v="2"/>
    <s v="Mercado Express"/>
    <n v="90"/>
    <n v="0.25"/>
    <n v="22.5"/>
  </r>
  <r>
    <d v="2022-01-17T00:00:00"/>
    <x v="3"/>
    <s v="Salgados Gran"/>
    <n v="100"/>
    <n v="0.25"/>
    <n v="25"/>
  </r>
  <r>
    <d v="2022-02-01T00:00:00"/>
    <x v="3"/>
    <s v="Salgados Gran"/>
    <n v="85"/>
    <n v="0.25"/>
    <n v="21.25"/>
  </r>
  <r>
    <d v="2022-02-02T00:00:00"/>
    <x v="2"/>
    <s v="Mercado Express"/>
    <n v="80"/>
    <n v="0.25"/>
    <n v="20"/>
  </r>
  <r>
    <d v="2022-02-06T00:00:00"/>
    <x v="0"/>
    <s v="Mercado Express"/>
    <n v="125"/>
    <n v="2"/>
    <n v="250"/>
  </r>
  <r>
    <d v="2022-02-10T00:00:00"/>
    <x v="4"/>
    <s v="Distribuídora KS"/>
    <n v="50"/>
    <n v="0.75"/>
    <n v="37.5"/>
  </r>
  <r>
    <d v="2022-02-20T00:00:00"/>
    <x v="1"/>
    <s v="Salgados Gran"/>
    <n v="100"/>
    <n v="0.5"/>
    <n v="50"/>
  </r>
  <r>
    <d v="2022-03-05T00:00:00"/>
    <x v="5"/>
    <s v="Distribuídora KS"/>
    <n v="250"/>
    <n v="2"/>
    <n v="500"/>
  </r>
  <r>
    <d v="2022-03-10T00:00:00"/>
    <x v="3"/>
    <s v="Salgados Gran"/>
    <n v="50"/>
    <n v="0.25"/>
    <n v="12.5"/>
  </r>
  <r>
    <d v="2022-03-15T00:00:00"/>
    <x v="0"/>
    <s v="Mercado Express"/>
    <n v="150"/>
    <n v="2"/>
    <n v="300"/>
  </r>
  <r>
    <d v="2022-03-17T00:00:00"/>
    <x v="6"/>
    <s v="Mercado Express"/>
    <n v="100"/>
    <n v="0.75"/>
    <n v="75"/>
  </r>
  <r>
    <d v="2022-03-24T00:00:00"/>
    <x v="2"/>
    <s v="Mercado Express"/>
    <n v="40"/>
    <n v="0.25"/>
    <n v="10"/>
  </r>
  <r>
    <d v="2022-03-27T00:00:00"/>
    <x v="1"/>
    <s v="Salgados Gran"/>
    <n v="50"/>
    <n v="0.5"/>
    <n v="25"/>
  </r>
  <r>
    <d v="2022-04-04T00:00:00"/>
    <x v="3"/>
    <s v="Salgados Gran"/>
    <n v="90"/>
    <n v="0.25"/>
    <n v="22.5"/>
  </r>
  <r>
    <d v="2022-04-10T00:00:00"/>
    <x v="0"/>
    <s v="Mercado Express"/>
    <n v="150"/>
    <n v="2"/>
    <n v="300"/>
  </r>
  <r>
    <d v="2022-04-21T00:00:00"/>
    <x v="2"/>
    <s v="Mercado Express"/>
    <n v="60"/>
    <n v="0.25"/>
    <n v="15"/>
  </r>
  <r>
    <d v="2022-04-30T00:00:00"/>
    <x v="1"/>
    <s v="Salgados Gran"/>
    <n v="50"/>
    <n v="0.5"/>
    <n v="25"/>
  </r>
  <r>
    <d v="2022-05-05T00:00:00"/>
    <x v="7"/>
    <s v="Frigorífico Z"/>
    <n v="60"/>
    <n v="8"/>
    <n v="480"/>
  </r>
  <r>
    <d v="2022-05-06T00:00:00"/>
    <x v="1"/>
    <s v="Salgados Gran"/>
    <n v="50"/>
    <n v="0.5"/>
    <n v="25"/>
  </r>
  <r>
    <d v="2022-05-10T00:00:00"/>
    <x v="3"/>
    <s v="Salgados Gran"/>
    <n v="30"/>
    <n v="0.25"/>
    <n v="7.5"/>
  </r>
  <r>
    <d v="2022-05-10T00:00:00"/>
    <x v="0"/>
    <s v="Mercado Express"/>
    <n v="100"/>
    <n v="2"/>
    <n v="200"/>
  </r>
  <r>
    <d v="2022-05-17T00:00:00"/>
    <x v="2"/>
    <s v="Mercado Express"/>
    <n v="45"/>
    <n v="0.25"/>
    <n v="11.25"/>
  </r>
  <r>
    <d v="2022-06-02T00:00:00"/>
    <x v="0"/>
    <s v="Mercado Express"/>
    <n v="150"/>
    <n v="2"/>
    <n v="300"/>
  </r>
  <r>
    <d v="2022-06-07T00:00:00"/>
    <x v="2"/>
    <s v="Mercado Express"/>
    <n v="115"/>
    <n v="0.25"/>
    <n v="28.75"/>
  </r>
  <r>
    <d v="2022-06-15T00:00:00"/>
    <x v="3"/>
    <s v="Salgados Gran"/>
    <n v="100"/>
    <n v="0.25"/>
    <n v="25"/>
  </r>
  <r>
    <d v="2022-06-23T00:00:00"/>
    <x v="1"/>
    <s v="Salgados Gran"/>
    <n v="45"/>
    <n v="0.5"/>
    <n v="22.5"/>
  </r>
  <r>
    <d v="2022-07-01T00:00:00"/>
    <x v="0"/>
    <s v="Mercado Express"/>
    <n v="150"/>
    <n v="2"/>
    <n v="300"/>
  </r>
  <r>
    <d v="2022-07-05T00:00:00"/>
    <x v="3"/>
    <s v="Salgados Gran"/>
    <n v="60"/>
    <n v="0.25"/>
    <n v="15"/>
  </r>
  <r>
    <d v="2022-07-07T00:00:00"/>
    <x v="2"/>
    <s v="Mercado Express"/>
    <n v="120"/>
    <n v="0.25"/>
    <n v="30"/>
  </r>
  <r>
    <d v="2022-07-15T00:00:00"/>
    <x v="1"/>
    <s v="Salgados Gran"/>
    <n v="20"/>
    <n v="0.5"/>
    <n v="10"/>
  </r>
  <r>
    <d v="2022-08-05T00:00:00"/>
    <x v="2"/>
    <s v="Mercado Express"/>
    <n v="35"/>
    <n v="0.25"/>
    <n v="8.75"/>
  </r>
  <r>
    <d v="2022-08-10T00:00:00"/>
    <x v="8"/>
    <s v="Mercado Express"/>
    <n v="100"/>
    <n v="1"/>
    <n v="100"/>
  </r>
  <r>
    <d v="2022-08-18T00:00:00"/>
    <x v="3"/>
    <s v="Salgados Gran"/>
    <n v="30"/>
    <n v="0.25"/>
    <n v="7.5"/>
  </r>
  <r>
    <d v="2022-08-18T00:00:00"/>
    <x v="1"/>
    <s v="Salgados Gran"/>
    <n v="30"/>
    <n v="0.5"/>
    <n v="15"/>
  </r>
  <r>
    <d v="2022-08-31T00:00:00"/>
    <x v="0"/>
    <s v="Mercado Express"/>
    <n v="150"/>
    <n v="2"/>
    <n v="300"/>
  </r>
  <r>
    <d v="2022-09-02T00:00:00"/>
    <x v="5"/>
    <s v="Distribuídora KS"/>
    <n v="100"/>
    <n v="2"/>
    <n v="200"/>
  </r>
  <r>
    <d v="2022-09-07T00:00:00"/>
    <x v="2"/>
    <s v="Mercado Express"/>
    <n v="34"/>
    <n v="0.25"/>
    <n v="8.5"/>
  </r>
  <r>
    <d v="2022-09-17T00:00:00"/>
    <x v="9"/>
    <s v="Frigorífico Z"/>
    <n v="50"/>
    <n v="4.5"/>
    <n v="225"/>
  </r>
  <r>
    <d v="2022-09-19T00:00:00"/>
    <x v="3"/>
    <s v="Salgados Gran"/>
    <n v="20"/>
    <n v="0.25"/>
    <n v="5"/>
  </r>
  <r>
    <d v="2022-09-24T00:00:00"/>
    <x v="1"/>
    <s v="Salgados Gran"/>
    <n v="15"/>
    <n v="0.5"/>
    <n v="7.5"/>
  </r>
  <r>
    <d v="2022-09-30T00:00:00"/>
    <x v="0"/>
    <s v="Mercado Express"/>
    <n v="180"/>
    <n v="2"/>
    <n v="360"/>
  </r>
  <r>
    <d v="2022-10-01T00:00:00"/>
    <x v="2"/>
    <s v="Mercado Express"/>
    <n v="46"/>
    <n v="0.25"/>
    <n v="11.5"/>
  </r>
  <r>
    <d v="2022-10-07T00:00:00"/>
    <x v="3"/>
    <s v="Salgados Gran"/>
    <n v="35"/>
    <n v="0.25"/>
    <n v="8.75"/>
  </r>
  <r>
    <d v="2022-10-20T00:00:00"/>
    <x v="0"/>
    <s v="Mercado Express"/>
    <n v="100"/>
    <n v="2"/>
    <n v="200"/>
  </r>
  <r>
    <d v="2022-10-25T00:00:00"/>
    <x v="1"/>
    <s v="Salgados Gran"/>
    <n v="55"/>
    <n v="0.5"/>
    <n v="27.5"/>
  </r>
  <r>
    <d v="2022-11-09T00:00:00"/>
    <x v="10"/>
    <s v="Distribuídora KS"/>
    <n v="100"/>
    <n v="0.25"/>
    <n v="25"/>
  </r>
  <r>
    <d v="2022-11-15T00:00:00"/>
    <x v="0"/>
    <s v="Mercado Express"/>
    <n v="80"/>
    <n v="2"/>
    <n v="160"/>
  </r>
  <r>
    <d v="2022-11-18T00:00:00"/>
    <x v="2"/>
    <s v="Mercado Express"/>
    <n v="45"/>
    <n v="0.25"/>
    <n v="11.25"/>
  </r>
  <r>
    <d v="2022-11-23T00:00:00"/>
    <x v="3"/>
    <s v="Salgados Gran"/>
    <n v="20"/>
    <n v="0.25"/>
    <n v="5"/>
  </r>
  <r>
    <d v="2022-11-30T00:00:00"/>
    <x v="1"/>
    <s v="Salgados Gran"/>
    <n v="35"/>
    <n v="0.5"/>
    <n v="17.5"/>
  </r>
  <r>
    <d v="2022-12-12T00:00:00"/>
    <x v="0"/>
    <s v="Mercado Express"/>
    <n v="200"/>
    <n v="2"/>
    <n v="400"/>
  </r>
  <r>
    <d v="2022-12-15T00:00:00"/>
    <x v="2"/>
    <s v="Mercado Express"/>
    <n v="40"/>
    <n v="0.25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ED731-F50E-415B-B816-D4372D3DEF1B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outline="1" outlineData="1" compactData="0" multipleFieldFilters="0">
  <location ref="D3:F15" firstHeaderRow="0" firstDataRow="1" firstDataCol="1"/>
  <pivotFields count="6">
    <pivotField compact="0" numFmtId="14" showAll="0"/>
    <pivotField axis="axisRow" compact="0" showAll="0">
      <items count="12">
        <item x="10"/>
        <item x="0"/>
        <item x="4"/>
        <item x="2"/>
        <item x="1"/>
        <item x="9"/>
        <item x="7"/>
        <item x="8"/>
        <item x="3"/>
        <item x="5"/>
        <item x="6"/>
        <item t="default"/>
      </items>
    </pivotField>
    <pivotField compact="0" showAll="0"/>
    <pivotField compact="0" showAll="0"/>
    <pivotField dataField="1" compact="0" numFmtId="164" showAll="0"/>
    <pivotField dataField="1" compact="0" numFmtId="16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da Compra" fld="5" baseField="0" baseItem="0" numFmtId="164"/>
    <dataField name="Soma de Custo Unitário" fld="4" baseField="0" baseItem="0" numFmtId="164"/>
  </dataFields>
  <pivotTableStyleInfo name="PivotStyleLight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50976-A8B7-4574-9650-D0ED348342A1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" firstHeaderRow="1" firstDataRow="1" firstDataCol="1"/>
  <pivotFields count="5">
    <pivotField axis="axisRow" showAll="0">
      <items count="28">
        <item x="12"/>
        <item x="19"/>
        <item x="0"/>
        <item x="20"/>
        <item x="7"/>
        <item x="14"/>
        <item x="10"/>
        <item x="2"/>
        <item x="5"/>
        <item x="26"/>
        <item x="3"/>
        <item x="18"/>
        <item x="17"/>
        <item x="11"/>
        <item x="8"/>
        <item x="13"/>
        <item x="23"/>
        <item x="1"/>
        <item x="15"/>
        <item x="24"/>
        <item x="22"/>
        <item x="21"/>
        <item x="6"/>
        <item x="25"/>
        <item x="9"/>
        <item x="4"/>
        <item x="16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dataField="1" showAll="0"/>
    <pivotField numFmtId="164" showAll="0">
      <items count="12">
        <item x="4"/>
        <item x="2"/>
        <item x="6"/>
        <item x="3"/>
        <item x="1"/>
        <item x="0"/>
        <item x="9"/>
        <item x="10"/>
        <item x="8"/>
        <item x="7"/>
        <item x="5"/>
        <item t="default"/>
      </items>
    </pivotField>
    <pivotField numFmtId="164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Estoque Mínimo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F31" totalsRowShown="0" headerRowDxfId="20" dataDxfId="19">
  <autoFilter ref="B4:F31" xr:uid="{BF78AD2E-2996-4673-93A5-FBABBADBFCAD}"/>
  <tableColumns count="5">
    <tableColumn id="1" xr3:uid="{377E90C8-0A45-4737-AC04-4C7CDB0AEAE2}" name="Produto" dataDxfId="18"/>
    <tableColumn id="2" xr3:uid="{4EB804C9-8A27-4783-BD36-FB9E656AE6E9}" name="Unidade de Medida" dataDxfId="17"/>
    <tableColumn id="3" xr3:uid="{A21D3E1F-EEC0-4E4A-BE5D-F1FC07B6F8D6}" name="Estoque Mínimo" dataDxfId="16"/>
    <tableColumn id="4" xr3:uid="{56ACBABD-1CFA-40E7-BC2B-DBA4120CD2CF}" name="Custo Unitário" dataDxfId="15" dataCellStyle="Moeda"/>
    <tableColumn id="5" xr3:uid="{96CD541B-A2C4-4577-95D7-DC8135FFC00B}" name="Preço Unitário" dataDxfId="14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E9" totalsRowShown="0" headerRowDxfId="13" dataDxfId="12">
  <autoFilter ref="B5:E9" xr:uid="{3FE8CB29-2D3F-4475-8076-85314FAA5C42}"/>
  <tableColumns count="4">
    <tableColumn id="1" xr3:uid="{5957F8AA-CE75-4BE8-A28F-E63751C6F321}" name="Empresa" dataDxfId="11"/>
    <tableColumn id="2" xr3:uid="{714E240A-6400-4353-BAFA-98056A75BEB8}" name="Telefone" dataDxfId="10"/>
    <tableColumn id="3" xr3:uid="{83F2A368-4F63-4459-A8E0-C24478833107}" name="Responsável" dataDxfId="9"/>
    <tableColumn id="4" xr3:uid="{B26AA4D1-77D3-4E4E-8E26-1DD67159E60C}" name="E-mail" dataDxfId="8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G59" totalsRowShown="0" headerRowDxfId="7" dataDxfId="6">
  <autoFilter ref="B5:G59" xr:uid="{96889516-6D39-4469-A223-4B0F7168EF79}"/>
  <tableColumns count="6">
    <tableColumn id="1" xr3:uid="{701AD28A-1CD8-44C9-BCEB-958AEB0E91DD}" name="Data" dataDxfId="5"/>
    <tableColumn id="2" xr3:uid="{F247CE0B-0EF4-4B75-A4B5-2205D8CF8B59}" name="Produto" dataDxfId="4"/>
    <tableColumn id="3" xr3:uid="{1A5D1499-6E9D-496F-95A9-F290D6FBA0EA}" name="Fornecedor" dataDxfId="3"/>
    <tableColumn id="4" xr3:uid="{8E9FF413-1C84-4664-AA13-4DDF2E3D7D9D}" name="Quantidade Comprada" dataDxfId="2" dataCellStyle="Moeda"/>
    <tableColumn id="5" xr3:uid="{A02F7FDA-CBAC-4B18-A2AB-0654AA440E5C}" name="Custo Unitário" dataDxfId="1">
      <calculatedColumnFormula array="1">_xlfn.XLOOKUP(TB_Entradas[[#This Row],[Produto]],TB_Produtos[[#All],[Produto]],TB_Produtos[[#All],[Custo Unitário]],"Produto não Encontrado",0,1)</calculatedColumnFormula>
    </tableColumn>
    <tableColumn id="6" xr3:uid="{C58A77A0-4427-4854-BE4E-4859DEF6E459}" name="Valor da Compra" dataDxfId="0">
      <calculatedColumnFormula>IFERROR(TB_Entradas[[#This Row],[Quantidade Comprada]]*TB_Entradas[[#This Row],[Custo Unitário]],"Erro ao calcular")</calculatedColumnFormula>
    </tableColumn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F62" totalsRowShown="0" headerRowDxfId="27" dataDxfId="26">
  <autoFilter ref="B5:F62" xr:uid="{586A585A-A0FE-42A4-967D-5B04DAD1156E}"/>
  <tableColumns count="5">
    <tableColumn id="1" xr3:uid="{B4F598A6-4052-4062-950B-44B21BB57036}" name="Data" dataDxfId="25"/>
    <tableColumn id="2" xr3:uid="{370468ED-B740-49DE-AB89-5354284A2ABF}" name="Produto" dataDxfId="24"/>
    <tableColumn id="3" xr3:uid="{BE1ABBF0-3358-4840-B3C0-322DEDC290E1}" name="Quantidade Vendida" dataDxfId="23"/>
    <tableColumn id="4" xr3:uid="{561D4B7F-EDFE-4DF1-8FB5-D94F09D99A20}" name="Preço Unitário" dataDxfId="22" dataCellStyle="Moeda">
      <calculatedColumnFormula array="1">_xlfn.XLOOKUP(TB_Saídas[[#This Row],[Produto]],TB_Produtos[[#All],[Produto]],TB_Produtos[[#All],[Preço Unitário]],"Produto não Encontrado",0,1)</calculatedColumnFormula>
    </tableColumn>
    <tableColumn id="5" xr3:uid="{E2ABB07D-4494-43CF-A1D0-BB7188F908E0}" name="Valor de Venda" dataDxfId="21">
      <calculatedColumnFormula>IFERROR(TB_Saídas[[#This Row],[Quantidade Vendida]]*TB_Saídas[[#This Row],[Preço Unitário]],"Não foi possível calcular")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hyperlink" Target="mailto:claudia@salgadosgran.com.b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E670-8458-4ECB-A5F1-5553A90F60A5}">
  <dimension ref="A3:F31"/>
  <sheetViews>
    <sheetView tabSelected="1" workbookViewId="0">
      <selection activeCell="E7" sqref="E7"/>
    </sheetView>
  </sheetViews>
  <sheetFormatPr defaultRowHeight="15" x14ac:dyDescent="0.25"/>
  <cols>
    <col min="1" max="1" width="18" bestFit="1" customWidth="1"/>
    <col min="2" max="2" width="24" bestFit="1" customWidth="1"/>
    <col min="3" max="3" width="22.140625" bestFit="1" customWidth="1"/>
    <col min="4" max="4" width="17.28515625" bestFit="1" customWidth="1"/>
    <col min="5" max="5" width="24" bestFit="1" customWidth="1"/>
    <col min="6" max="6" width="22.140625" bestFit="1" customWidth="1"/>
    <col min="7" max="11" width="8.5703125" bestFit="1" customWidth="1"/>
    <col min="12" max="12" width="9.5703125" bestFit="1" customWidth="1"/>
    <col min="13" max="13" width="12.140625" bestFit="1" customWidth="1"/>
  </cols>
  <sheetData>
    <row r="3" spans="1:6" x14ac:dyDescent="0.25">
      <c r="A3" s="27" t="s">
        <v>68</v>
      </c>
      <c r="B3" t="s">
        <v>70</v>
      </c>
      <c r="D3" s="27" t="s">
        <v>1</v>
      </c>
      <c r="E3" t="s">
        <v>72</v>
      </c>
      <c r="F3" t="s">
        <v>71</v>
      </c>
    </row>
    <row r="4" spans="1:6" x14ac:dyDescent="0.25">
      <c r="A4" s="28" t="s">
        <v>22</v>
      </c>
      <c r="B4" s="29">
        <v>4</v>
      </c>
      <c r="D4" t="s">
        <v>29</v>
      </c>
      <c r="E4" s="5">
        <v>25</v>
      </c>
      <c r="F4" s="5">
        <v>0.25</v>
      </c>
    </row>
    <row r="5" spans="1:6" x14ac:dyDescent="0.25">
      <c r="A5" s="28" t="s">
        <v>29</v>
      </c>
      <c r="B5" s="29">
        <v>5</v>
      </c>
      <c r="D5" t="s">
        <v>6</v>
      </c>
      <c r="E5" s="5">
        <v>3270</v>
      </c>
      <c r="F5" s="5">
        <v>24</v>
      </c>
    </row>
    <row r="6" spans="1:6" x14ac:dyDescent="0.25">
      <c r="A6" s="28" t="s">
        <v>6</v>
      </c>
      <c r="B6" s="29">
        <v>50</v>
      </c>
      <c r="D6" t="s">
        <v>31</v>
      </c>
      <c r="E6" s="5">
        <v>37.5</v>
      </c>
      <c r="F6" s="5">
        <v>0.75</v>
      </c>
    </row>
    <row r="7" spans="1:6" x14ac:dyDescent="0.25">
      <c r="A7" s="28" t="s">
        <v>31</v>
      </c>
      <c r="B7" s="29">
        <v>5</v>
      </c>
      <c r="D7" t="s">
        <v>19</v>
      </c>
      <c r="E7" s="5">
        <v>187.5</v>
      </c>
      <c r="F7" s="5">
        <v>3</v>
      </c>
    </row>
    <row r="8" spans="1:6" x14ac:dyDescent="0.25">
      <c r="A8" s="28" t="s">
        <v>15</v>
      </c>
      <c r="B8" s="29">
        <v>15</v>
      </c>
      <c r="D8" t="s">
        <v>10</v>
      </c>
      <c r="E8" s="5">
        <v>275</v>
      </c>
      <c r="F8" s="5">
        <v>5.5</v>
      </c>
    </row>
    <row r="9" spans="1:6" x14ac:dyDescent="0.25">
      <c r="A9" s="28" t="s">
        <v>24</v>
      </c>
      <c r="B9" s="29">
        <v>2</v>
      </c>
      <c r="D9" t="s">
        <v>28</v>
      </c>
      <c r="E9" s="5">
        <v>225</v>
      </c>
      <c r="F9" s="5">
        <v>4.5</v>
      </c>
    </row>
    <row r="10" spans="1:6" x14ac:dyDescent="0.25">
      <c r="A10" s="28" t="s">
        <v>19</v>
      </c>
      <c r="B10" s="29">
        <v>10</v>
      </c>
      <c r="D10" t="s">
        <v>27</v>
      </c>
      <c r="E10" s="5">
        <v>480</v>
      </c>
      <c r="F10" s="5">
        <v>8</v>
      </c>
    </row>
    <row r="11" spans="1:6" x14ac:dyDescent="0.25">
      <c r="A11" s="28" t="s">
        <v>10</v>
      </c>
      <c r="B11" s="29">
        <v>50</v>
      </c>
      <c r="D11" t="s">
        <v>23</v>
      </c>
      <c r="E11" s="5">
        <v>100</v>
      </c>
      <c r="F11" s="5">
        <v>1</v>
      </c>
    </row>
    <row r="12" spans="1:6" x14ac:dyDescent="0.25">
      <c r="A12" s="28" t="s">
        <v>13</v>
      </c>
      <c r="B12" s="29">
        <v>50</v>
      </c>
      <c r="D12" t="s">
        <v>25</v>
      </c>
      <c r="E12" s="5">
        <v>155</v>
      </c>
      <c r="F12" s="5">
        <v>2.75</v>
      </c>
    </row>
    <row r="13" spans="1:6" x14ac:dyDescent="0.25">
      <c r="A13" s="28" t="s">
        <v>37</v>
      </c>
      <c r="B13" s="29">
        <v>10</v>
      </c>
      <c r="D13" t="s">
        <v>36</v>
      </c>
      <c r="E13" s="5">
        <v>700</v>
      </c>
      <c r="F13" s="5">
        <v>4</v>
      </c>
    </row>
    <row r="14" spans="1:6" x14ac:dyDescent="0.25">
      <c r="A14" s="28" t="s">
        <v>11</v>
      </c>
      <c r="B14" s="29">
        <v>50</v>
      </c>
      <c r="D14" t="s">
        <v>26</v>
      </c>
      <c r="E14" s="5">
        <v>75</v>
      </c>
      <c r="F14" s="5">
        <v>0.75</v>
      </c>
    </row>
    <row r="15" spans="1:6" x14ac:dyDescent="0.25">
      <c r="A15" s="28" t="s">
        <v>28</v>
      </c>
      <c r="B15" s="29">
        <v>2</v>
      </c>
      <c r="D15" t="s">
        <v>69</v>
      </c>
      <c r="E15" s="5">
        <v>5530</v>
      </c>
      <c r="F15" s="5">
        <v>54.5</v>
      </c>
    </row>
    <row r="16" spans="1:6" x14ac:dyDescent="0.25">
      <c r="A16" s="28" t="s">
        <v>27</v>
      </c>
      <c r="B16" s="29">
        <v>2</v>
      </c>
    </row>
    <row r="17" spans="1:2" x14ac:dyDescent="0.25">
      <c r="A17" s="28" t="s">
        <v>21</v>
      </c>
      <c r="B17" s="29">
        <v>12</v>
      </c>
    </row>
    <row r="18" spans="1:2" x14ac:dyDescent="0.25">
      <c r="A18" s="28" t="s">
        <v>17</v>
      </c>
      <c r="B18" s="29">
        <v>15</v>
      </c>
    </row>
    <row r="19" spans="1:2" x14ac:dyDescent="0.25">
      <c r="A19" s="28" t="s">
        <v>23</v>
      </c>
      <c r="B19" s="29">
        <v>10</v>
      </c>
    </row>
    <row r="20" spans="1:2" x14ac:dyDescent="0.25">
      <c r="A20" s="28" t="s">
        <v>34</v>
      </c>
      <c r="B20" s="29">
        <v>2</v>
      </c>
    </row>
    <row r="21" spans="1:2" x14ac:dyDescent="0.25">
      <c r="A21" s="28" t="s">
        <v>8</v>
      </c>
      <c r="B21" s="29">
        <v>5</v>
      </c>
    </row>
    <row r="22" spans="1:2" x14ac:dyDescent="0.25">
      <c r="A22" s="28" t="s">
        <v>25</v>
      </c>
      <c r="B22" s="29">
        <v>10</v>
      </c>
    </row>
    <row r="23" spans="1:2" x14ac:dyDescent="0.25">
      <c r="A23" s="28" t="s">
        <v>35</v>
      </c>
      <c r="B23" s="29">
        <v>2</v>
      </c>
    </row>
    <row r="24" spans="1:2" x14ac:dyDescent="0.25">
      <c r="A24" s="28" t="s">
        <v>33</v>
      </c>
      <c r="B24" s="29">
        <v>2</v>
      </c>
    </row>
    <row r="25" spans="1:2" x14ac:dyDescent="0.25">
      <c r="A25" s="28" t="s">
        <v>32</v>
      </c>
      <c r="B25" s="29">
        <v>2</v>
      </c>
    </row>
    <row r="26" spans="1:2" x14ac:dyDescent="0.25">
      <c r="A26" s="28" t="s">
        <v>14</v>
      </c>
      <c r="B26" s="29">
        <v>50</v>
      </c>
    </row>
    <row r="27" spans="1:2" x14ac:dyDescent="0.25">
      <c r="A27" s="28" t="s">
        <v>36</v>
      </c>
      <c r="B27" s="29">
        <v>10</v>
      </c>
    </row>
    <row r="28" spans="1:2" x14ac:dyDescent="0.25">
      <c r="A28" s="28" t="s">
        <v>18</v>
      </c>
      <c r="B28" s="29">
        <v>15</v>
      </c>
    </row>
    <row r="29" spans="1:2" x14ac:dyDescent="0.25">
      <c r="A29" s="28" t="s">
        <v>12</v>
      </c>
      <c r="B29" s="29">
        <v>50</v>
      </c>
    </row>
    <row r="30" spans="1:2" x14ac:dyDescent="0.25">
      <c r="A30" s="28" t="s">
        <v>26</v>
      </c>
      <c r="B30" s="29">
        <v>5</v>
      </c>
    </row>
    <row r="31" spans="1:2" x14ac:dyDescent="0.25">
      <c r="A31" s="28" t="s">
        <v>69</v>
      </c>
      <c r="B31" s="29">
        <v>445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dimension ref="B1:I31"/>
  <sheetViews>
    <sheetView showGridLines="0" topLeftCell="A5" zoomScale="140" zoomScaleNormal="140" workbookViewId="0">
      <selection activeCell="B7" sqref="B7"/>
    </sheetView>
  </sheetViews>
  <sheetFormatPr defaultColWidth="9.140625" defaultRowHeight="15" x14ac:dyDescent="0.25"/>
  <cols>
    <col min="1" max="1" width="5.28515625" customWidth="1"/>
    <col min="2" max="2" width="16.28515625" bestFit="1" customWidth="1"/>
    <col min="3" max="3" width="22.5703125" bestFit="1" customWidth="1"/>
    <col min="4" max="4" width="19.7109375" bestFit="1" customWidth="1"/>
    <col min="5" max="5" width="18.42578125" customWidth="1"/>
    <col min="6" max="6" width="20.42578125" style="1" customWidth="1"/>
    <col min="8" max="8" width="13.5703125" customWidth="1"/>
    <col min="9" max="9" width="15.28515625" customWidth="1"/>
  </cols>
  <sheetData>
    <row r="1" spans="2:9" s="6" customFormat="1" ht="60" customHeight="1" x14ac:dyDescent="0.25">
      <c r="E1" s="13" t="s">
        <v>0</v>
      </c>
      <c r="F1" s="14"/>
    </row>
    <row r="2" spans="2:9" s="8" customFormat="1" ht="6" customHeight="1" x14ac:dyDescent="0.25">
      <c r="F2" s="9"/>
    </row>
    <row r="4" spans="2:9" x14ac:dyDescent="0.25"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</row>
    <row r="5" spans="2:9" x14ac:dyDescent="0.25">
      <c r="B5" s="10" t="s">
        <v>6</v>
      </c>
      <c r="C5" s="11" t="s">
        <v>7</v>
      </c>
      <c r="D5" s="11">
        <v>50</v>
      </c>
      <c r="E5" s="12">
        <v>2</v>
      </c>
      <c r="F5" s="12">
        <v>6</v>
      </c>
      <c r="G5" s="3"/>
      <c r="H5" s="3"/>
    </row>
    <row r="6" spans="2:9" x14ac:dyDescent="0.25">
      <c r="B6" s="10" t="s">
        <v>8</v>
      </c>
      <c r="C6" s="11" t="s">
        <v>9</v>
      </c>
      <c r="D6" s="11">
        <v>5</v>
      </c>
      <c r="E6" s="12">
        <v>1.5</v>
      </c>
      <c r="F6" s="12">
        <v>3</v>
      </c>
      <c r="H6" s="3"/>
    </row>
    <row r="7" spans="2:9" x14ac:dyDescent="0.25">
      <c r="B7" s="10" t="s">
        <v>10</v>
      </c>
      <c r="C7" s="11" t="s">
        <v>9</v>
      </c>
      <c r="D7" s="11">
        <v>50</v>
      </c>
      <c r="E7" s="12">
        <v>0.5</v>
      </c>
      <c r="F7" s="12">
        <v>6.5</v>
      </c>
      <c r="H7" s="3"/>
    </row>
    <row r="8" spans="2:9" x14ac:dyDescent="0.25">
      <c r="B8" s="10" t="s">
        <v>11</v>
      </c>
      <c r="C8" s="11" t="s">
        <v>9</v>
      </c>
      <c r="D8" s="11">
        <v>50</v>
      </c>
      <c r="E8" s="12">
        <v>1</v>
      </c>
      <c r="F8" s="12">
        <v>4.5</v>
      </c>
      <c r="H8" s="3"/>
    </row>
    <row r="9" spans="2:9" x14ac:dyDescent="0.25">
      <c r="B9" s="10" t="s">
        <v>12</v>
      </c>
      <c r="C9" s="11" t="s">
        <v>9</v>
      </c>
      <c r="D9" s="11">
        <v>50</v>
      </c>
      <c r="E9" s="12">
        <v>1</v>
      </c>
      <c r="F9" s="12">
        <v>4</v>
      </c>
      <c r="H9" s="3"/>
      <c r="I9" s="5"/>
    </row>
    <row r="10" spans="2:9" x14ac:dyDescent="0.25">
      <c r="B10" s="10" t="s">
        <v>13</v>
      </c>
      <c r="C10" s="11" t="s">
        <v>9</v>
      </c>
      <c r="D10" s="11">
        <v>50</v>
      </c>
      <c r="E10" s="12">
        <v>1</v>
      </c>
      <c r="F10" s="12">
        <v>4</v>
      </c>
    </row>
    <row r="11" spans="2:9" x14ac:dyDescent="0.25">
      <c r="B11" s="10" t="s">
        <v>14</v>
      </c>
      <c r="C11" s="11" t="s">
        <v>9</v>
      </c>
      <c r="D11" s="11">
        <v>50</v>
      </c>
      <c r="E11" s="12">
        <v>0.5</v>
      </c>
      <c r="F11" s="12">
        <v>4</v>
      </c>
    </row>
    <row r="12" spans="2:9" x14ac:dyDescent="0.25">
      <c r="B12" s="10" t="s">
        <v>15</v>
      </c>
      <c r="C12" s="11" t="s">
        <v>16</v>
      </c>
      <c r="D12" s="11">
        <v>15</v>
      </c>
      <c r="E12" s="12">
        <v>0.5</v>
      </c>
      <c r="F12" s="12">
        <v>2</v>
      </c>
    </row>
    <row r="13" spans="2:9" x14ac:dyDescent="0.25">
      <c r="B13" s="10" t="s">
        <v>17</v>
      </c>
      <c r="C13" s="11" t="s">
        <v>16</v>
      </c>
      <c r="D13" s="11">
        <v>15</v>
      </c>
      <c r="E13" s="12">
        <v>0.25</v>
      </c>
      <c r="F13" s="12">
        <v>1</v>
      </c>
    </row>
    <row r="14" spans="2:9" x14ac:dyDescent="0.25">
      <c r="B14" s="10" t="s">
        <v>18</v>
      </c>
      <c r="C14" s="11" t="s">
        <v>16</v>
      </c>
      <c r="D14" s="11">
        <v>15</v>
      </c>
      <c r="E14" s="12">
        <v>0.25</v>
      </c>
      <c r="F14" s="12">
        <v>1</v>
      </c>
    </row>
    <row r="15" spans="2:9" x14ac:dyDescent="0.25">
      <c r="B15" s="10" t="s">
        <v>19</v>
      </c>
      <c r="C15" s="11" t="s">
        <v>20</v>
      </c>
      <c r="D15" s="11">
        <v>10</v>
      </c>
      <c r="E15" s="12">
        <v>0.25</v>
      </c>
      <c r="F15" s="12">
        <v>8.5</v>
      </c>
    </row>
    <row r="16" spans="2:9" x14ac:dyDescent="0.25">
      <c r="B16" s="10" t="s">
        <v>21</v>
      </c>
      <c r="C16" s="11" t="s">
        <v>20</v>
      </c>
      <c r="D16" s="11">
        <v>12</v>
      </c>
      <c r="E16" s="12">
        <v>10</v>
      </c>
      <c r="F16" s="12">
        <v>5</v>
      </c>
    </row>
    <row r="17" spans="2:6" x14ac:dyDescent="0.25">
      <c r="B17" s="10" t="s">
        <v>22</v>
      </c>
      <c r="C17" s="11" t="s">
        <v>9</v>
      </c>
      <c r="D17" s="11">
        <v>4</v>
      </c>
      <c r="E17" s="12">
        <v>2</v>
      </c>
      <c r="F17" s="12">
        <v>2</v>
      </c>
    </row>
    <row r="18" spans="2:6" x14ac:dyDescent="0.25">
      <c r="B18" s="10" t="s">
        <v>23</v>
      </c>
      <c r="C18" s="11" t="s">
        <v>16</v>
      </c>
      <c r="D18" s="11">
        <v>10</v>
      </c>
      <c r="E18" s="12">
        <v>1</v>
      </c>
      <c r="F18" s="12">
        <v>5</v>
      </c>
    </row>
    <row r="19" spans="2:6" x14ac:dyDescent="0.25">
      <c r="B19" s="10" t="s">
        <v>24</v>
      </c>
      <c r="C19" s="11" t="s">
        <v>16</v>
      </c>
      <c r="D19" s="11">
        <v>2</v>
      </c>
      <c r="E19" s="12">
        <v>0.75</v>
      </c>
      <c r="F19" s="12">
        <v>1.5</v>
      </c>
    </row>
    <row r="20" spans="2:6" x14ac:dyDescent="0.25">
      <c r="B20" s="10" t="s">
        <v>25</v>
      </c>
      <c r="C20" s="11" t="s">
        <v>9</v>
      </c>
      <c r="D20" s="11">
        <v>10</v>
      </c>
      <c r="E20" s="12">
        <v>0.25</v>
      </c>
      <c r="F20" s="12">
        <v>7.5</v>
      </c>
    </row>
    <row r="21" spans="2:6" x14ac:dyDescent="0.25">
      <c r="B21" s="10" t="s">
        <v>26</v>
      </c>
      <c r="C21" s="11" t="s">
        <v>16</v>
      </c>
      <c r="D21" s="11">
        <v>5</v>
      </c>
      <c r="E21" s="12">
        <v>0.75</v>
      </c>
      <c r="F21" s="12">
        <v>10</v>
      </c>
    </row>
    <row r="22" spans="2:6" x14ac:dyDescent="0.25">
      <c r="B22" s="10" t="s">
        <v>27</v>
      </c>
      <c r="C22" s="11" t="s">
        <v>9</v>
      </c>
      <c r="D22" s="11">
        <v>2</v>
      </c>
      <c r="E22" s="12">
        <v>8</v>
      </c>
      <c r="F22" s="12">
        <v>15</v>
      </c>
    </row>
    <row r="23" spans="2:6" x14ac:dyDescent="0.25">
      <c r="B23" s="10" t="s">
        <v>28</v>
      </c>
      <c r="C23" s="11" t="s">
        <v>9</v>
      </c>
      <c r="D23" s="11">
        <v>2</v>
      </c>
      <c r="E23" s="12">
        <v>4.5</v>
      </c>
      <c r="F23" s="12">
        <v>15</v>
      </c>
    </row>
    <row r="24" spans="2:6" x14ac:dyDescent="0.25">
      <c r="B24" s="10" t="s">
        <v>29</v>
      </c>
      <c r="C24" s="11" t="s">
        <v>30</v>
      </c>
      <c r="D24" s="11">
        <v>5</v>
      </c>
      <c r="E24" s="12">
        <v>0.25</v>
      </c>
      <c r="F24" s="12">
        <v>2</v>
      </c>
    </row>
    <row r="25" spans="2:6" x14ac:dyDescent="0.25">
      <c r="B25" s="10" t="s">
        <v>31</v>
      </c>
      <c r="C25" s="11" t="s">
        <v>30</v>
      </c>
      <c r="D25" s="11">
        <v>5</v>
      </c>
      <c r="E25" s="12">
        <v>0.75</v>
      </c>
      <c r="F25" s="12">
        <v>8</v>
      </c>
    </row>
    <row r="26" spans="2:6" x14ac:dyDescent="0.25">
      <c r="B26" s="10" t="s">
        <v>32</v>
      </c>
      <c r="C26" s="11" t="s">
        <v>9</v>
      </c>
      <c r="D26" s="11">
        <v>2</v>
      </c>
      <c r="E26" s="12">
        <v>1</v>
      </c>
      <c r="F26" s="12">
        <v>3</v>
      </c>
    </row>
    <row r="27" spans="2:6" x14ac:dyDescent="0.25">
      <c r="B27" s="10" t="s">
        <v>33</v>
      </c>
      <c r="C27" s="11" t="s">
        <v>9</v>
      </c>
      <c r="D27" s="11">
        <v>2</v>
      </c>
      <c r="E27" s="12">
        <v>2.5</v>
      </c>
      <c r="F27" s="12">
        <v>3.5</v>
      </c>
    </row>
    <row r="28" spans="2:6" x14ac:dyDescent="0.25">
      <c r="B28" s="10" t="s">
        <v>34</v>
      </c>
      <c r="C28" s="11" t="s">
        <v>9</v>
      </c>
      <c r="D28" s="11">
        <v>2</v>
      </c>
      <c r="E28" s="12">
        <v>1.5</v>
      </c>
      <c r="F28" s="12">
        <v>3</v>
      </c>
    </row>
    <row r="29" spans="2:6" x14ac:dyDescent="0.25">
      <c r="B29" s="10" t="s">
        <v>35</v>
      </c>
      <c r="C29" s="11" t="s">
        <v>9</v>
      </c>
      <c r="D29" s="11">
        <v>2</v>
      </c>
      <c r="E29" s="12">
        <v>3</v>
      </c>
      <c r="F29" s="12">
        <v>4.5</v>
      </c>
    </row>
    <row r="30" spans="2:6" x14ac:dyDescent="0.25">
      <c r="B30" s="10" t="s">
        <v>36</v>
      </c>
      <c r="C30" s="11" t="s">
        <v>16</v>
      </c>
      <c r="D30" s="11">
        <v>10</v>
      </c>
      <c r="E30" s="12">
        <v>2</v>
      </c>
      <c r="F30" s="12">
        <v>8</v>
      </c>
    </row>
    <row r="31" spans="2:6" x14ac:dyDescent="0.25">
      <c r="B31" s="10" t="s">
        <v>37</v>
      </c>
      <c r="C31" s="11" t="s">
        <v>9</v>
      </c>
      <c r="D31" s="11">
        <v>10</v>
      </c>
      <c r="E31" s="12">
        <v>0.25</v>
      </c>
      <c r="F31" s="12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B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dimension ref="B1:H9"/>
  <sheetViews>
    <sheetView showGridLines="0" zoomScale="160" zoomScaleNormal="160" workbookViewId="0">
      <selection activeCell="G7" sqref="G7"/>
    </sheetView>
  </sheetViews>
  <sheetFormatPr defaultColWidth="9.140625" defaultRowHeight="15" x14ac:dyDescent="0.25"/>
  <cols>
    <col min="1" max="1" width="5.28515625" customWidth="1"/>
    <col min="2" max="2" width="17.85546875" customWidth="1"/>
    <col min="3" max="3" width="16.85546875" bestFit="1" customWidth="1"/>
    <col min="4" max="4" width="14.28515625" bestFit="1" customWidth="1"/>
    <col min="5" max="5" width="31.85546875" customWidth="1"/>
  </cols>
  <sheetData>
    <row r="1" spans="2:8" s="6" customFormat="1" ht="60" customHeight="1" x14ac:dyDescent="0.25">
      <c r="E1" s="13" t="s">
        <v>38</v>
      </c>
      <c r="F1" s="7"/>
    </row>
    <row r="2" spans="2:8" s="8" customFormat="1" ht="6" customHeight="1" x14ac:dyDescent="0.25">
      <c r="F2" s="9"/>
    </row>
    <row r="5" spans="2:8" x14ac:dyDescent="0.25">
      <c r="B5" s="23" t="s">
        <v>39</v>
      </c>
      <c r="C5" s="23" t="s">
        <v>40</v>
      </c>
      <c r="D5" s="23" t="s">
        <v>41</v>
      </c>
      <c r="E5" s="23" t="s">
        <v>42</v>
      </c>
    </row>
    <row r="6" spans="2:8" x14ac:dyDescent="0.25">
      <c r="B6" s="10" t="s">
        <v>43</v>
      </c>
      <c r="C6" s="11" t="s">
        <v>44</v>
      </c>
      <c r="D6" s="11" t="s">
        <v>45</v>
      </c>
      <c r="E6" s="12" t="s">
        <v>46</v>
      </c>
    </row>
    <row r="7" spans="2:8" x14ac:dyDescent="0.25">
      <c r="B7" s="10" t="s">
        <v>47</v>
      </c>
      <c r="C7" s="11" t="s">
        <v>48</v>
      </c>
      <c r="D7" s="11" t="s">
        <v>49</v>
      </c>
      <c r="E7" s="12" t="s">
        <v>50</v>
      </c>
    </row>
    <row r="8" spans="2:8" x14ac:dyDescent="0.25">
      <c r="B8" s="10" t="s">
        <v>51</v>
      </c>
      <c r="C8" s="11" t="s">
        <v>52</v>
      </c>
      <c r="D8" s="11" t="s">
        <v>53</v>
      </c>
      <c r="E8" s="12" t="s">
        <v>54</v>
      </c>
      <c r="H8" t="s">
        <v>55</v>
      </c>
    </row>
    <row r="9" spans="2:8" x14ac:dyDescent="0.25">
      <c r="B9" s="10" t="s">
        <v>56</v>
      </c>
      <c r="C9" s="11" t="s">
        <v>57</v>
      </c>
      <c r="D9" s="11" t="s">
        <v>58</v>
      </c>
      <c r="E9" s="12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6:B9" xr:uid="{CB0A8FAC-1E94-4C7B-B66C-BC840809AA8D}">
      <formula1>COUNTIF(Lista_Fornecedores,B6)&lt;=1</formula1>
    </dataValidation>
  </dataValidations>
  <hyperlinks>
    <hyperlink ref="E6" r:id="rId1" display="mailto:maria@mercadoexpress.com.br" xr:uid="{BFA96C7E-CFA4-43C1-BA94-93E939CAF61B}"/>
    <hyperlink ref="E7" r:id="rId2" xr:uid="{B2F5BAB3-8645-48D1-8743-F6B02EAFE6F1}"/>
    <hyperlink ref="E8" r:id="rId3" display="mailto:eduardo@distribuídoraks.com.br" xr:uid="{1E6B527E-51F9-4124-9C35-5E328A13FBAD}"/>
    <hyperlink ref="E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dimension ref="B1:G59"/>
  <sheetViews>
    <sheetView showGridLines="0" topLeftCell="A6" zoomScale="140" zoomScaleNormal="140" workbookViewId="0">
      <selection activeCell="C10" sqref="C10"/>
    </sheetView>
  </sheetViews>
  <sheetFormatPr defaultColWidth="9.140625" defaultRowHeight="15" x14ac:dyDescent="0.25"/>
  <cols>
    <col min="1" max="1" width="5.28515625" customWidth="1"/>
    <col min="2" max="2" width="15.7109375" customWidth="1"/>
    <col min="3" max="3" width="17.140625" style="2" customWidth="1"/>
    <col min="4" max="4" width="18" style="2" customWidth="1"/>
    <col min="5" max="5" width="22.85546875" customWidth="1"/>
    <col min="6" max="6" width="22.28515625" style="2" customWidth="1"/>
    <col min="7" max="7" width="17.42578125" customWidth="1"/>
    <col min="8" max="8" width="18.42578125" customWidth="1"/>
  </cols>
  <sheetData>
    <row r="1" spans="2:7" s="6" customFormat="1" ht="60" customHeight="1" x14ac:dyDescent="0.25">
      <c r="E1" s="13" t="s">
        <v>60</v>
      </c>
      <c r="F1" s="7"/>
    </row>
    <row r="2" spans="2:7" s="8" customFormat="1" ht="6" customHeight="1" x14ac:dyDescent="0.25">
      <c r="F2" s="9"/>
    </row>
    <row r="4" spans="2:7" x14ac:dyDescent="0.25">
      <c r="C4"/>
    </row>
    <row r="5" spans="2:7" s="4" customFormat="1" x14ac:dyDescent="0.25">
      <c r="B5" s="25" t="s">
        <v>61</v>
      </c>
      <c r="C5" s="25" t="s">
        <v>1</v>
      </c>
      <c r="D5" s="25" t="s">
        <v>62</v>
      </c>
      <c r="E5" s="25" t="s">
        <v>63</v>
      </c>
      <c r="F5" s="26" t="s">
        <v>4</v>
      </c>
      <c r="G5" s="26" t="s">
        <v>64</v>
      </c>
    </row>
    <row r="6" spans="2:7" x14ac:dyDescent="0.25">
      <c r="B6" s="21">
        <v>44566</v>
      </c>
      <c r="C6" s="18" t="s">
        <v>6</v>
      </c>
      <c r="D6" s="11" t="s">
        <v>43</v>
      </c>
      <c r="E6" s="19">
        <v>100</v>
      </c>
      <c r="F6" s="20" cm="1">
        <f t="array" ref="F6">_xlfn.XLOOKUP(TB_Entradas[[#This Row],[Produto]],TB_Produtos[[#All],[Produto]],TB_Produtos[[#All],[Custo Unitário]],"Produto não Encontrado",0,1)</f>
        <v>2</v>
      </c>
      <c r="G6" s="20">
        <f>IFERROR(TB_Entradas[[#This Row],[Quantidade Comprada]]*TB_Entradas[[#This Row],[Custo Unitário]],"Erro ao calcular")</f>
        <v>200</v>
      </c>
    </row>
    <row r="7" spans="2:7" x14ac:dyDescent="0.25">
      <c r="B7" s="21">
        <v>44566</v>
      </c>
      <c r="C7" s="18" t="s">
        <v>10</v>
      </c>
      <c r="D7" s="11" t="s">
        <v>56</v>
      </c>
      <c r="E7" s="19">
        <v>100</v>
      </c>
      <c r="F7" s="20" cm="1">
        <f t="array" ref="F7">_xlfn.XLOOKUP(TB_Entradas[[#This Row],[Produto]],TB_Produtos[[#All],[Produto]],TB_Produtos[[#All],[Custo Unitário]],"Produto não Encontrado",0,1)</f>
        <v>0.5</v>
      </c>
      <c r="G7" s="20">
        <f>IFERROR(TB_Entradas[[#This Row],[Quantidade Comprada]]*TB_Entradas[[#This Row],[Custo Unitário]],"Erro ao calcular")</f>
        <v>50</v>
      </c>
    </row>
    <row r="8" spans="2:7" x14ac:dyDescent="0.25">
      <c r="B8" s="21">
        <v>44576</v>
      </c>
      <c r="C8" s="18" t="s">
        <v>19</v>
      </c>
      <c r="D8" s="11" t="s">
        <v>43</v>
      </c>
      <c r="E8" s="19">
        <v>90</v>
      </c>
      <c r="F8" s="20" cm="1">
        <f t="array" ref="F8">_xlfn.XLOOKUP(TB_Entradas[[#This Row],[Produto]],TB_Produtos[[#All],[Produto]],TB_Produtos[[#All],[Custo Unitário]],"Produto não Encontrado",0,1)</f>
        <v>0.25</v>
      </c>
      <c r="G8" s="20">
        <f>IFERROR(TB_Entradas[[#This Row],[Quantidade Comprada]]*TB_Entradas[[#This Row],[Custo Unitário]],"Erro ao calcular")</f>
        <v>22.5</v>
      </c>
    </row>
    <row r="9" spans="2:7" x14ac:dyDescent="0.25">
      <c r="B9" s="21">
        <v>44578</v>
      </c>
      <c r="C9" s="18" t="s">
        <v>25</v>
      </c>
      <c r="D9" s="11" t="s">
        <v>56</v>
      </c>
      <c r="E9" s="19">
        <v>100</v>
      </c>
      <c r="F9" s="20" cm="1">
        <f t="array" ref="F9">_xlfn.XLOOKUP(TB_Entradas[[#This Row],[Produto]],TB_Produtos[[#All],[Produto]],TB_Produtos[[#All],[Custo Unitário]],"Produto não Encontrado",0,1)</f>
        <v>0.25</v>
      </c>
      <c r="G9" s="20">
        <f>IFERROR(TB_Entradas[[#This Row],[Quantidade Comprada]]*TB_Entradas[[#This Row],[Custo Unitário]],"Erro ao calcular")</f>
        <v>25</v>
      </c>
    </row>
    <row r="10" spans="2:7" x14ac:dyDescent="0.25">
      <c r="B10" s="21">
        <v>44593</v>
      </c>
      <c r="C10" s="18" t="s">
        <v>25</v>
      </c>
      <c r="D10" s="11" t="s">
        <v>56</v>
      </c>
      <c r="E10" s="19">
        <v>85</v>
      </c>
      <c r="F10" s="20" cm="1">
        <f t="array" ref="F10">_xlfn.XLOOKUP(TB_Entradas[[#This Row],[Produto]],TB_Produtos[[#All],[Produto]],TB_Produtos[[#All],[Custo Unitário]],"Produto não Encontrado",0,1)</f>
        <v>0.25</v>
      </c>
      <c r="G10" s="20">
        <f>IFERROR(TB_Entradas[[#This Row],[Quantidade Comprada]]*TB_Entradas[[#This Row],[Custo Unitário]],"Erro ao calcular")</f>
        <v>21.25</v>
      </c>
    </row>
    <row r="11" spans="2:7" x14ac:dyDescent="0.25">
      <c r="B11" s="21">
        <v>44594</v>
      </c>
      <c r="C11" s="18" t="s">
        <v>19</v>
      </c>
      <c r="D11" s="11" t="s">
        <v>43</v>
      </c>
      <c r="E11" s="19">
        <v>80</v>
      </c>
      <c r="F11" s="20" cm="1">
        <f t="array" ref="F11">_xlfn.XLOOKUP(TB_Entradas[[#This Row],[Produto]],TB_Produtos[[#All],[Produto]],TB_Produtos[[#All],[Custo Unitário]],"Produto não Encontrado",0,1)</f>
        <v>0.25</v>
      </c>
      <c r="G11" s="20">
        <f>IFERROR(TB_Entradas[[#This Row],[Quantidade Comprada]]*TB_Entradas[[#This Row],[Custo Unitário]],"Erro ao calcular")</f>
        <v>20</v>
      </c>
    </row>
    <row r="12" spans="2:7" x14ac:dyDescent="0.25">
      <c r="B12" s="21">
        <v>44598</v>
      </c>
      <c r="C12" s="18" t="s">
        <v>6</v>
      </c>
      <c r="D12" s="11" t="s">
        <v>43</v>
      </c>
      <c r="E12" s="19">
        <v>125</v>
      </c>
      <c r="F12" s="20" cm="1">
        <f t="array" ref="F12">_xlfn.XLOOKUP(TB_Entradas[[#This Row],[Produto]],TB_Produtos[[#All],[Produto]],TB_Produtos[[#All],[Custo Unitário]],"Produto não Encontrado",0,1)</f>
        <v>2</v>
      </c>
      <c r="G12" s="20">
        <f>IFERROR(TB_Entradas[[#This Row],[Quantidade Comprada]]*TB_Entradas[[#This Row],[Custo Unitário]],"Erro ao calcular")</f>
        <v>250</v>
      </c>
    </row>
    <row r="13" spans="2:7" x14ac:dyDescent="0.25">
      <c r="B13" s="21">
        <v>44602</v>
      </c>
      <c r="C13" s="18" t="s">
        <v>31</v>
      </c>
      <c r="D13" s="11" t="s">
        <v>51</v>
      </c>
      <c r="E13" s="19">
        <v>50</v>
      </c>
      <c r="F13" s="20" cm="1">
        <f t="array" ref="F13">_xlfn.XLOOKUP(TB_Entradas[[#This Row],[Produto]],TB_Produtos[[#All],[Produto]],TB_Produtos[[#All],[Custo Unitário]],"Produto não Encontrado",0,1)</f>
        <v>0.75</v>
      </c>
      <c r="G13" s="20">
        <f>IFERROR(TB_Entradas[[#This Row],[Quantidade Comprada]]*TB_Entradas[[#This Row],[Custo Unitário]],"Erro ao calcular")</f>
        <v>37.5</v>
      </c>
    </row>
    <row r="14" spans="2:7" x14ac:dyDescent="0.25">
      <c r="B14" s="21">
        <v>44612</v>
      </c>
      <c r="C14" s="18" t="s">
        <v>10</v>
      </c>
      <c r="D14" s="11" t="s">
        <v>56</v>
      </c>
      <c r="E14" s="19">
        <v>100</v>
      </c>
      <c r="F14" s="20" cm="1">
        <f t="array" ref="F14">_xlfn.XLOOKUP(TB_Entradas[[#This Row],[Produto]],TB_Produtos[[#All],[Produto]],TB_Produtos[[#All],[Custo Unitário]],"Produto não Encontrado",0,1)</f>
        <v>0.5</v>
      </c>
      <c r="G14" s="20">
        <f>IFERROR(TB_Entradas[[#This Row],[Quantidade Comprada]]*TB_Entradas[[#This Row],[Custo Unitário]],"Erro ao calcular")</f>
        <v>50</v>
      </c>
    </row>
    <row r="15" spans="2:7" x14ac:dyDescent="0.25">
      <c r="B15" s="21">
        <v>44625</v>
      </c>
      <c r="C15" s="18" t="s">
        <v>36</v>
      </c>
      <c r="D15" s="11" t="s">
        <v>51</v>
      </c>
      <c r="E15" s="19">
        <v>250</v>
      </c>
      <c r="F15" s="20" cm="1">
        <f t="array" ref="F15">_xlfn.XLOOKUP(TB_Entradas[[#This Row],[Produto]],TB_Produtos[[#All],[Produto]],TB_Produtos[[#All],[Custo Unitário]],"Produto não Encontrado",0,1)</f>
        <v>2</v>
      </c>
      <c r="G15" s="20">
        <f>IFERROR(TB_Entradas[[#This Row],[Quantidade Comprada]]*TB_Entradas[[#This Row],[Custo Unitário]],"Erro ao calcular")</f>
        <v>500</v>
      </c>
    </row>
    <row r="16" spans="2:7" x14ac:dyDescent="0.25">
      <c r="B16" s="21">
        <v>44630</v>
      </c>
      <c r="C16" s="18" t="s">
        <v>25</v>
      </c>
      <c r="D16" s="11" t="s">
        <v>56</v>
      </c>
      <c r="E16" s="19">
        <v>50</v>
      </c>
      <c r="F16" s="20" cm="1">
        <f t="array" ref="F16">_xlfn.XLOOKUP(TB_Entradas[[#This Row],[Produto]],TB_Produtos[[#All],[Produto]],TB_Produtos[[#All],[Custo Unitário]],"Produto não Encontrado",0,1)</f>
        <v>0.25</v>
      </c>
      <c r="G16" s="20">
        <f>IFERROR(TB_Entradas[[#This Row],[Quantidade Comprada]]*TB_Entradas[[#This Row],[Custo Unitário]],"Erro ao calcular")</f>
        <v>12.5</v>
      </c>
    </row>
    <row r="17" spans="2:7" x14ac:dyDescent="0.25">
      <c r="B17" s="21">
        <v>44635</v>
      </c>
      <c r="C17" s="18" t="s">
        <v>6</v>
      </c>
      <c r="D17" s="11" t="s">
        <v>43</v>
      </c>
      <c r="E17" s="19">
        <v>150</v>
      </c>
      <c r="F17" s="20" cm="1">
        <f t="array" ref="F17">_xlfn.XLOOKUP(TB_Entradas[[#This Row],[Produto]],TB_Produtos[[#All],[Produto]],TB_Produtos[[#All],[Custo Unitário]],"Produto não Encontrado",0,1)</f>
        <v>2</v>
      </c>
      <c r="G17" s="20">
        <f>IFERROR(TB_Entradas[[#This Row],[Quantidade Comprada]]*TB_Entradas[[#This Row],[Custo Unitário]],"Erro ao calcular")</f>
        <v>300</v>
      </c>
    </row>
    <row r="18" spans="2:7" x14ac:dyDescent="0.25">
      <c r="B18" s="21">
        <v>44637</v>
      </c>
      <c r="C18" s="18" t="s">
        <v>26</v>
      </c>
      <c r="D18" s="11" t="s">
        <v>43</v>
      </c>
      <c r="E18" s="19">
        <v>100</v>
      </c>
      <c r="F18" s="20" cm="1">
        <f t="array" ref="F18">_xlfn.XLOOKUP(TB_Entradas[[#This Row],[Produto]],TB_Produtos[[#All],[Produto]],TB_Produtos[[#All],[Custo Unitário]],"Produto não Encontrado",0,1)</f>
        <v>0.75</v>
      </c>
      <c r="G18" s="20">
        <f>IFERROR(TB_Entradas[[#This Row],[Quantidade Comprada]]*TB_Entradas[[#This Row],[Custo Unitário]],"Erro ao calcular")</f>
        <v>75</v>
      </c>
    </row>
    <row r="19" spans="2:7" x14ac:dyDescent="0.25">
      <c r="B19" s="21">
        <v>44644</v>
      </c>
      <c r="C19" s="18" t="s">
        <v>19</v>
      </c>
      <c r="D19" s="11" t="s">
        <v>43</v>
      </c>
      <c r="E19" s="19">
        <v>40</v>
      </c>
      <c r="F19" s="20" cm="1">
        <f t="array" ref="F19">_xlfn.XLOOKUP(TB_Entradas[[#This Row],[Produto]],TB_Produtos[[#All],[Produto]],TB_Produtos[[#All],[Custo Unitário]],"Produto não Encontrado",0,1)</f>
        <v>0.25</v>
      </c>
      <c r="G19" s="20">
        <f>IFERROR(TB_Entradas[[#This Row],[Quantidade Comprada]]*TB_Entradas[[#This Row],[Custo Unitário]],"Erro ao calcular")</f>
        <v>10</v>
      </c>
    </row>
    <row r="20" spans="2:7" x14ac:dyDescent="0.25">
      <c r="B20" s="21">
        <v>44647</v>
      </c>
      <c r="C20" s="18" t="s">
        <v>10</v>
      </c>
      <c r="D20" s="11" t="s">
        <v>56</v>
      </c>
      <c r="E20" s="19">
        <v>50</v>
      </c>
      <c r="F20" s="20" cm="1">
        <f t="array" ref="F20">_xlfn.XLOOKUP(TB_Entradas[[#This Row],[Produto]],TB_Produtos[[#All],[Produto]],TB_Produtos[[#All],[Custo Unitário]],"Produto não Encontrado",0,1)</f>
        <v>0.5</v>
      </c>
      <c r="G20" s="20">
        <f>IFERROR(TB_Entradas[[#This Row],[Quantidade Comprada]]*TB_Entradas[[#This Row],[Custo Unitário]],"Erro ao calcular")</f>
        <v>25</v>
      </c>
    </row>
    <row r="21" spans="2:7" x14ac:dyDescent="0.25">
      <c r="B21" s="21">
        <v>44655</v>
      </c>
      <c r="C21" s="18" t="s">
        <v>25</v>
      </c>
      <c r="D21" s="11" t="s">
        <v>56</v>
      </c>
      <c r="E21" s="19">
        <v>90</v>
      </c>
      <c r="F21" s="20" cm="1">
        <f t="array" ref="F21">_xlfn.XLOOKUP(TB_Entradas[[#This Row],[Produto]],TB_Produtos[[#All],[Produto]],TB_Produtos[[#All],[Custo Unitário]],"Produto não Encontrado",0,1)</f>
        <v>0.25</v>
      </c>
      <c r="G21" s="20">
        <f>IFERROR(TB_Entradas[[#This Row],[Quantidade Comprada]]*TB_Entradas[[#This Row],[Custo Unitário]],"Erro ao calcular")</f>
        <v>22.5</v>
      </c>
    </row>
    <row r="22" spans="2:7" x14ac:dyDescent="0.25">
      <c r="B22" s="21">
        <v>44661</v>
      </c>
      <c r="C22" s="18" t="s">
        <v>6</v>
      </c>
      <c r="D22" s="11" t="s">
        <v>43</v>
      </c>
      <c r="E22" s="19">
        <v>150</v>
      </c>
      <c r="F22" s="20" cm="1">
        <f t="array" ref="F22">_xlfn.XLOOKUP(TB_Entradas[[#This Row],[Produto]],TB_Produtos[[#All],[Produto]],TB_Produtos[[#All],[Custo Unitário]],"Produto não Encontrado",0,1)</f>
        <v>2</v>
      </c>
      <c r="G22" s="20">
        <f>IFERROR(TB_Entradas[[#This Row],[Quantidade Comprada]]*TB_Entradas[[#This Row],[Custo Unitário]],"Erro ao calcular")</f>
        <v>300</v>
      </c>
    </row>
    <row r="23" spans="2:7" x14ac:dyDescent="0.25">
      <c r="B23" s="21">
        <v>44672</v>
      </c>
      <c r="C23" s="18" t="s">
        <v>19</v>
      </c>
      <c r="D23" s="11" t="s">
        <v>43</v>
      </c>
      <c r="E23" s="19">
        <v>60</v>
      </c>
      <c r="F23" s="20" cm="1">
        <f t="array" ref="F23">_xlfn.XLOOKUP(TB_Entradas[[#This Row],[Produto]],TB_Produtos[[#All],[Produto]],TB_Produtos[[#All],[Custo Unitário]],"Produto não Encontrado",0,1)</f>
        <v>0.25</v>
      </c>
      <c r="G23" s="20">
        <f>IFERROR(TB_Entradas[[#This Row],[Quantidade Comprada]]*TB_Entradas[[#This Row],[Custo Unitário]],"Erro ao calcular")</f>
        <v>15</v>
      </c>
    </row>
    <row r="24" spans="2:7" x14ac:dyDescent="0.25">
      <c r="B24" s="21">
        <v>44681</v>
      </c>
      <c r="C24" s="18" t="s">
        <v>10</v>
      </c>
      <c r="D24" s="11" t="s">
        <v>56</v>
      </c>
      <c r="E24" s="19">
        <v>50</v>
      </c>
      <c r="F24" s="20" cm="1">
        <f t="array" ref="F24">_xlfn.XLOOKUP(TB_Entradas[[#This Row],[Produto]],TB_Produtos[[#All],[Produto]],TB_Produtos[[#All],[Custo Unitário]],"Produto não Encontrado",0,1)</f>
        <v>0.5</v>
      </c>
      <c r="G24" s="20">
        <f>IFERROR(TB_Entradas[[#This Row],[Quantidade Comprada]]*TB_Entradas[[#This Row],[Custo Unitário]],"Erro ao calcular")</f>
        <v>25</v>
      </c>
    </row>
    <row r="25" spans="2:7" x14ac:dyDescent="0.25">
      <c r="B25" s="21">
        <v>44686</v>
      </c>
      <c r="C25" s="18" t="s">
        <v>27</v>
      </c>
      <c r="D25" s="11" t="s">
        <v>47</v>
      </c>
      <c r="E25" s="19">
        <v>60</v>
      </c>
      <c r="F25" s="20" cm="1">
        <f t="array" ref="F25">_xlfn.XLOOKUP(TB_Entradas[[#This Row],[Produto]],TB_Produtos[[#All],[Produto]],TB_Produtos[[#All],[Custo Unitário]],"Produto não Encontrado",0,1)</f>
        <v>8</v>
      </c>
      <c r="G25" s="20">
        <f>IFERROR(TB_Entradas[[#This Row],[Quantidade Comprada]]*TB_Entradas[[#This Row],[Custo Unitário]],"Erro ao calcular")</f>
        <v>480</v>
      </c>
    </row>
    <row r="26" spans="2:7" x14ac:dyDescent="0.25">
      <c r="B26" s="21">
        <v>44687</v>
      </c>
      <c r="C26" s="18" t="s">
        <v>10</v>
      </c>
      <c r="D26" s="11" t="s">
        <v>56</v>
      </c>
      <c r="E26" s="19">
        <v>50</v>
      </c>
      <c r="F26" s="20" cm="1">
        <f t="array" ref="F26">_xlfn.XLOOKUP(TB_Entradas[[#This Row],[Produto]],TB_Produtos[[#All],[Produto]],TB_Produtos[[#All],[Custo Unitário]],"Produto não Encontrado",0,1)</f>
        <v>0.5</v>
      </c>
      <c r="G26" s="20">
        <f>IFERROR(TB_Entradas[[#This Row],[Quantidade Comprada]]*TB_Entradas[[#This Row],[Custo Unitário]],"Erro ao calcular")</f>
        <v>25</v>
      </c>
    </row>
    <row r="27" spans="2:7" x14ac:dyDescent="0.25">
      <c r="B27" s="21">
        <v>44691</v>
      </c>
      <c r="C27" s="18" t="s">
        <v>25</v>
      </c>
      <c r="D27" s="11" t="s">
        <v>56</v>
      </c>
      <c r="E27" s="19">
        <v>30</v>
      </c>
      <c r="F27" s="20" cm="1">
        <f t="array" ref="F27">_xlfn.XLOOKUP(TB_Entradas[[#This Row],[Produto]],TB_Produtos[[#All],[Produto]],TB_Produtos[[#All],[Custo Unitário]],"Produto não Encontrado",0,1)</f>
        <v>0.25</v>
      </c>
      <c r="G27" s="20">
        <f>IFERROR(TB_Entradas[[#This Row],[Quantidade Comprada]]*TB_Entradas[[#This Row],[Custo Unitário]],"Erro ao calcular")</f>
        <v>7.5</v>
      </c>
    </row>
    <row r="28" spans="2:7" x14ac:dyDescent="0.25">
      <c r="B28" s="21">
        <v>44691</v>
      </c>
      <c r="C28" s="18" t="s">
        <v>6</v>
      </c>
      <c r="D28" s="11" t="s">
        <v>43</v>
      </c>
      <c r="E28" s="19">
        <v>100</v>
      </c>
      <c r="F28" s="20" cm="1">
        <f t="array" ref="F28">_xlfn.XLOOKUP(TB_Entradas[[#This Row],[Produto]],TB_Produtos[[#All],[Produto]],TB_Produtos[[#All],[Custo Unitário]],"Produto não Encontrado",0,1)</f>
        <v>2</v>
      </c>
      <c r="G28" s="20">
        <f>IFERROR(TB_Entradas[[#This Row],[Quantidade Comprada]]*TB_Entradas[[#This Row],[Custo Unitário]],"Erro ao calcular")</f>
        <v>200</v>
      </c>
    </row>
    <row r="29" spans="2:7" x14ac:dyDescent="0.25">
      <c r="B29" s="21">
        <v>44698</v>
      </c>
      <c r="C29" s="18" t="s">
        <v>19</v>
      </c>
      <c r="D29" s="11" t="s">
        <v>43</v>
      </c>
      <c r="E29" s="19">
        <v>45</v>
      </c>
      <c r="F29" s="20" cm="1">
        <f t="array" ref="F29">_xlfn.XLOOKUP(TB_Entradas[[#This Row],[Produto]],TB_Produtos[[#All],[Produto]],TB_Produtos[[#All],[Custo Unitário]],"Produto não Encontrado",0,1)</f>
        <v>0.25</v>
      </c>
      <c r="G29" s="20">
        <f>IFERROR(TB_Entradas[[#This Row],[Quantidade Comprada]]*TB_Entradas[[#This Row],[Custo Unitário]],"Erro ao calcular")</f>
        <v>11.25</v>
      </c>
    </row>
    <row r="30" spans="2:7" x14ac:dyDescent="0.25">
      <c r="B30" s="21">
        <v>44714</v>
      </c>
      <c r="C30" s="18" t="s">
        <v>6</v>
      </c>
      <c r="D30" s="11" t="s">
        <v>43</v>
      </c>
      <c r="E30" s="19">
        <v>150</v>
      </c>
      <c r="F30" s="20" cm="1">
        <f t="array" ref="F30">_xlfn.XLOOKUP(TB_Entradas[[#This Row],[Produto]],TB_Produtos[[#All],[Produto]],TB_Produtos[[#All],[Custo Unitário]],"Produto não Encontrado",0,1)</f>
        <v>2</v>
      </c>
      <c r="G30" s="20">
        <f>IFERROR(TB_Entradas[[#This Row],[Quantidade Comprada]]*TB_Entradas[[#This Row],[Custo Unitário]],"Erro ao calcular")</f>
        <v>300</v>
      </c>
    </row>
    <row r="31" spans="2:7" x14ac:dyDescent="0.25">
      <c r="B31" s="21">
        <v>44719</v>
      </c>
      <c r="C31" s="18" t="s">
        <v>19</v>
      </c>
      <c r="D31" s="11" t="s">
        <v>43</v>
      </c>
      <c r="E31" s="19">
        <v>115</v>
      </c>
      <c r="F31" s="20" cm="1">
        <f t="array" ref="F31">_xlfn.XLOOKUP(TB_Entradas[[#This Row],[Produto]],TB_Produtos[[#All],[Produto]],TB_Produtos[[#All],[Custo Unitário]],"Produto não Encontrado",0,1)</f>
        <v>0.25</v>
      </c>
      <c r="G31" s="20">
        <f>IFERROR(TB_Entradas[[#This Row],[Quantidade Comprada]]*TB_Entradas[[#This Row],[Custo Unitário]],"Erro ao calcular")</f>
        <v>28.75</v>
      </c>
    </row>
    <row r="32" spans="2:7" x14ac:dyDescent="0.25">
      <c r="B32" s="21">
        <v>44727</v>
      </c>
      <c r="C32" s="18" t="s">
        <v>25</v>
      </c>
      <c r="D32" s="11" t="s">
        <v>56</v>
      </c>
      <c r="E32" s="19">
        <v>100</v>
      </c>
      <c r="F32" s="20" cm="1">
        <f t="array" ref="F32">_xlfn.XLOOKUP(TB_Entradas[[#This Row],[Produto]],TB_Produtos[[#All],[Produto]],TB_Produtos[[#All],[Custo Unitário]],"Produto não Encontrado",0,1)</f>
        <v>0.25</v>
      </c>
      <c r="G32" s="20">
        <f>IFERROR(TB_Entradas[[#This Row],[Quantidade Comprada]]*TB_Entradas[[#This Row],[Custo Unitário]],"Erro ao calcular")</f>
        <v>25</v>
      </c>
    </row>
    <row r="33" spans="2:7" x14ac:dyDescent="0.25">
      <c r="B33" s="21">
        <v>44735</v>
      </c>
      <c r="C33" s="18" t="s">
        <v>10</v>
      </c>
      <c r="D33" s="11" t="s">
        <v>56</v>
      </c>
      <c r="E33" s="19">
        <v>45</v>
      </c>
      <c r="F33" s="20" cm="1">
        <f t="array" ref="F33">_xlfn.XLOOKUP(TB_Entradas[[#This Row],[Produto]],TB_Produtos[[#All],[Produto]],TB_Produtos[[#All],[Custo Unitário]],"Produto não Encontrado",0,1)</f>
        <v>0.5</v>
      </c>
      <c r="G33" s="20">
        <f>IFERROR(TB_Entradas[[#This Row],[Quantidade Comprada]]*TB_Entradas[[#This Row],[Custo Unitário]],"Erro ao calcular")</f>
        <v>22.5</v>
      </c>
    </row>
    <row r="34" spans="2:7" x14ac:dyDescent="0.25">
      <c r="B34" s="21">
        <v>44743</v>
      </c>
      <c r="C34" s="18" t="s">
        <v>6</v>
      </c>
      <c r="D34" s="11" t="s">
        <v>43</v>
      </c>
      <c r="E34" s="19">
        <v>150</v>
      </c>
      <c r="F34" s="20" cm="1">
        <f t="array" ref="F34">_xlfn.XLOOKUP(TB_Entradas[[#This Row],[Produto]],TB_Produtos[[#All],[Produto]],TB_Produtos[[#All],[Custo Unitário]],"Produto não Encontrado",0,1)</f>
        <v>2</v>
      </c>
      <c r="G34" s="20">
        <f>IFERROR(TB_Entradas[[#This Row],[Quantidade Comprada]]*TB_Entradas[[#This Row],[Custo Unitário]],"Erro ao calcular")</f>
        <v>300</v>
      </c>
    </row>
    <row r="35" spans="2:7" x14ac:dyDescent="0.25">
      <c r="B35" s="21">
        <v>44747</v>
      </c>
      <c r="C35" s="18" t="s">
        <v>25</v>
      </c>
      <c r="D35" s="11" t="s">
        <v>56</v>
      </c>
      <c r="E35" s="19">
        <v>60</v>
      </c>
      <c r="F35" s="20" cm="1">
        <f t="array" ref="F35">_xlfn.XLOOKUP(TB_Entradas[[#This Row],[Produto]],TB_Produtos[[#All],[Produto]],TB_Produtos[[#All],[Custo Unitário]],"Produto não Encontrado",0,1)</f>
        <v>0.25</v>
      </c>
      <c r="G35" s="20">
        <f>IFERROR(TB_Entradas[[#This Row],[Quantidade Comprada]]*TB_Entradas[[#This Row],[Custo Unitário]],"Erro ao calcular")</f>
        <v>15</v>
      </c>
    </row>
    <row r="36" spans="2:7" x14ac:dyDescent="0.25">
      <c r="B36" s="21">
        <v>44749</v>
      </c>
      <c r="C36" s="18" t="s">
        <v>19</v>
      </c>
      <c r="D36" s="11" t="s">
        <v>43</v>
      </c>
      <c r="E36" s="19">
        <v>120</v>
      </c>
      <c r="F36" s="20" cm="1">
        <f t="array" ref="F36">_xlfn.XLOOKUP(TB_Entradas[[#This Row],[Produto]],TB_Produtos[[#All],[Produto]],TB_Produtos[[#All],[Custo Unitário]],"Produto não Encontrado",0,1)</f>
        <v>0.25</v>
      </c>
      <c r="G36" s="20">
        <f>IFERROR(TB_Entradas[[#This Row],[Quantidade Comprada]]*TB_Entradas[[#This Row],[Custo Unitário]],"Erro ao calcular")</f>
        <v>30</v>
      </c>
    </row>
    <row r="37" spans="2:7" x14ac:dyDescent="0.25">
      <c r="B37" s="21">
        <v>44757</v>
      </c>
      <c r="C37" s="18" t="s">
        <v>10</v>
      </c>
      <c r="D37" s="11" t="s">
        <v>56</v>
      </c>
      <c r="E37" s="19">
        <v>20</v>
      </c>
      <c r="F37" s="20" cm="1">
        <f t="array" ref="F37">_xlfn.XLOOKUP(TB_Entradas[[#This Row],[Produto]],TB_Produtos[[#All],[Produto]],TB_Produtos[[#All],[Custo Unitário]],"Produto não Encontrado",0,1)</f>
        <v>0.5</v>
      </c>
      <c r="G37" s="20">
        <f>IFERROR(TB_Entradas[[#This Row],[Quantidade Comprada]]*TB_Entradas[[#This Row],[Custo Unitário]],"Erro ao calcular")</f>
        <v>10</v>
      </c>
    </row>
    <row r="38" spans="2:7" x14ac:dyDescent="0.25">
      <c r="B38" s="21">
        <v>44778</v>
      </c>
      <c r="C38" s="18" t="s">
        <v>19</v>
      </c>
      <c r="D38" s="11" t="s">
        <v>43</v>
      </c>
      <c r="E38" s="19">
        <v>35</v>
      </c>
      <c r="F38" s="20" cm="1">
        <f t="array" ref="F38">_xlfn.XLOOKUP(TB_Entradas[[#This Row],[Produto]],TB_Produtos[[#All],[Produto]],TB_Produtos[[#All],[Custo Unitário]],"Produto não Encontrado",0,1)</f>
        <v>0.25</v>
      </c>
      <c r="G38" s="20">
        <f>IFERROR(TB_Entradas[[#This Row],[Quantidade Comprada]]*TB_Entradas[[#This Row],[Custo Unitário]],"Erro ao calcular")</f>
        <v>8.75</v>
      </c>
    </row>
    <row r="39" spans="2:7" x14ac:dyDescent="0.25">
      <c r="B39" s="21">
        <v>44783</v>
      </c>
      <c r="C39" s="18" t="s">
        <v>23</v>
      </c>
      <c r="D39" s="11" t="s">
        <v>43</v>
      </c>
      <c r="E39" s="19">
        <v>100</v>
      </c>
      <c r="F39" s="20" cm="1">
        <f t="array" ref="F39">_xlfn.XLOOKUP(TB_Entradas[[#This Row],[Produto]],TB_Produtos[[#All],[Produto]],TB_Produtos[[#All],[Custo Unitário]],"Produto não Encontrado",0,1)</f>
        <v>1</v>
      </c>
      <c r="G39" s="20">
        <f>IFERROR(TB_Entradas[[#This Row],[Quantidade Comprada]]*TB_Entradas[[#This Row],[Custo Unitário]],"Erro ao calcular")</f>
        <v>100</v>
      </c>
    </row>
    <row r="40" spans="2:7" x14ac:dyDescent="0.25">
      <c r="B40" s="21">
        <v>44791</v>
      </c>
      <c r="C40" s="18" t="s">
        <v>25</v>
      </c>
      <c r="D40" s="11" t="s">
        <v>56</v>
      </c>
      <c r="E40" s="19">
        <v>30</v>
      </c>
      <c r="F40" s="20" cm="1">
        <f t="array" ref="F40">_xlfn.XLOOKUP(TB_Entradas[[#This Row],[Produto]],TB_Produtos[[#All],[Produto]],TB_Produtos[[#All],[Custo Unitário]],"Produto não Encontrado",0,1)</f>
        <v>0.25</v>
      </c>
      <c r="G40" s="20">
        <f>IFERROR(TB_Entradas[[#This Row],[Quantidade Comprada]]*TB_Entradas[[#This Row],[Custo Unitário]],"Erro ao calcular")</f>
        <v>7.5</v>
      </c>
    </row>
    <row r="41" spans="2:7" x14ac:dyDescent="0.25">
      <c r="B41" s="21">
        <v>44791</v>
      </c>
      <c r="C41" s="18" t="s">
        <v>10</v>
      </c>
      <c r="D41" s="11" t="s">
        <v>56</v>
      </c>
      <c r="E41" s="19">
        <v>30</v>
      </c>
      <c r="F41" s="20" cm="1">
        <f t="array" ref="F41">_xlfn.XLOOKUP(TB_Entradas[[#This Row],[Produto]],TB_Produtos[[#All],[Produto]],TB_Produtos[[#All],[Custo Unitário]],"Produto não Encontrado",0,1)</f>
        <v>0.5</v>
      </c>
      <c r="G41" s="20">
        <f>IFERROR(TB_Entradas[[#This Row],[Quantidade Comprada]]*TB_Entradas[[#This Row],[Custo Unitário]],"Erro ao calcular")</f>
        <v>15</v>
      </c>
    </row>
    <row r="42" spans="2:7" x14ac:dyDescent="0.25">
      <c r="B42" s="21">
        <v>44804</v>
      </c>
      <c r="C42" s="18" t="s">
        <v>6</v>
      </c>
      <c r="D42" s="11" t="s">
        <v>43</v>
      </c>
      <c r="E42" s="19">
        <v>150</v>
      </c>
      <c r="F42" s="20" cm="1">
        <f t="array" ref="F42">_xlfn.XLOOKUP(TB_Entradas[[#This Row],[Produto]],TB_Produtos[[#All],[Produto]],TB_Produtos[[#All],[Custo Unitário]],"Produto não Encontrado",0,1)</f>
        <v>2</v>
      </c>
      <c r="G42" s="20">
        <f>IFERROR(TB_Entradas[[#This Row],[Quantidade Comprada]]*TB_Entradas[[#This Row],[Custo Unitário]],"Erro ao calcular")</f>
        <v>300</v>
      </c>
    </row>
    <row r="43" spans="2:7" x14ac:dyDescent="0.25">
      <c r="B43" s="21">
        <v>44806</v>
      </c>
      <c r="C43" s="18" t="s">
        <v>36</v>
      </c>
      <c r="D43" s="11" t="s">
        <v>51</v>
      </c>
      <c r="E43" s="19">
        <v>100</v>
      </c>
      <c r="F43" s="20" cm="1">
        <f t="array" ref="F43">_xlfn.XLOOKUP(TB_Entradas[[#This Row],[Produto]],TB_Produtos[[#All],[Produto]],TB_Produtos[[#All],[Custo Unitário]],"Produto não Encontrado",0,1)</f>
        <v>2</v>
      </c>
      <c r="G43" s="20">
        <f>IFERROR(TB_Entradas[[#This Row],[Quantidade Comprada]]*TB_Entradas[[#This Row],[Custo Unitário]],"Erro ao calcular")</f>
        <v>200</v>
      </c>
    </row>
    <row r="44" spans="2:7" x14ac:dyDescent="0.25">
      <c r="B44" s="21">
        <v>44811</v>
      </c>
      <c r="C44" s="18" t="s">
        <v>19</v>
      </c>
      <c r="D44" s="11" t="s">
        <v>43</v>
      </c>
      <c r="E44" s="19">
        <v>34</v>
      </c>
      <c r="F44" s="20" cm="1">
        <f t="array" ref="F44">_xlfn.XLOOKUP(TB_Entradas[[#This Row],[Produto]],TB_Produtos[[#All],[Produto]],TB_Produtos[[#All],[Custo Unitário]],"Produto não Encontrado",0,1)</f>
        <v>0.25</v>
      </c>
      <c r="G44" s="20">
        <f>IFERROR(TB_Entradas[[#This Row],[Quantidade Comprada]]*TB_Entradas[[#This Row],[Custo Unitário]],"Erro ao calcular")</f>
        <v>8.5</v>
      </c>
    </row>
    <row r="45" spans="2:7" x14ac:dyDescent="0.25">
      <c r="B45" s="21">
        <v>44821</v>
      </c>
      <c r="C45" s="18" t="s">
        <v>28</v>
      </c>
      <c r="D45" s="11" t="s">
        <v>47</v>
      </c>
      <c r="E45" s="19">
        <v>50</v>
      </c>
      <c r="F45" s="20" cm="1">
        <f t="array" ref="F45">_xlfn.XLOOKUP(TB_Entradas[[#This Row],[Produto]],TB_Produtos[[#All],[Produto]],TB_Produtos[[#All],[Custo Unitário]],"Produto não Encontrado",0,1)</f>
        <v>4.5</v>
      </c>
      <c r="G45" s="20">
        <f>IFERROR(TB_Entradas[[#This Row],[Quantidade Comprada]]*TB_Entradas[[#This Row],[Custo Unitário]],"Erro ao calcular")</f>
        <v>225</v>
      </c>
    </row>
    <row r="46" spans="2:7" x14ac:dyDescent="0.25">
      <c r="B46" s="21">
        <v>44823</v>
      </c>
      <c r="C46" s="18" t="s">
        <v>25</v>
      </c>
      <c r="D46" s="11" t="s">
        <v>56</v>
      </c>
      <c r="E46" s="19">
        <v>20</v>
      </c>
      <c r="F46" s="20" cm="1">
        <f t="array" ref="F46">_xlfn.XLOOKUP(TB_Entradas[[#This Row],[Produto]],TB_Produtos[[#All],[Produto]],TB_Produtos[[#All],[Custo Unitário]],"Produto não Encontrado",0,1)</f>
        <v>0.25</v>
      </c>
      <c r="G46" s="20">
        <f>IFERROR(TB_Entradas[[#This Row],[Quantidade Comprada]]*TB_Entradas[[#This Row],[Custo Unitário]],"Erro ao calcular")</f>
        <v>5</v>
      </c>
    </row>
    <row r="47" spans="2:7" x14ac:dyDescent="0.25">
      <c r="B47" s="21">
        <v>44828</v>
      </c>
      <c r="C47" s="18" t="s">
        <v>10</v>
      </c>
      <c r="D47" s="11" t="s">
        <v>56</v>
      </c>
      <c r="E47" s="19">
        <v>15</v>
      </c>
      <c r="F47" s="20" cm="1">
        <f t="array" ref="F47">_xlfn.XLOOKUP(TB_Entradas[[#This Row],[Produto]],TB_Produtos[[#All],[Produto]],TB_Produtos[[#All],[Custo Unitário]],"Produto não Encontrado",0,1)</f>
        <v>0.5</v>
      </c>
      <c r="G47" s="20">
        <f>IFERROR(TB_Entradas[[#This Row],[Quantidade Comprada]]*TB_Entradas[[#This Row],[Custo Unitário]],"Erro ao calcular")</f>
        <v>7.5</v>
      </c>
    </row>
    <row r="48" spans="2:7" x14ac:dyDescent="0.25">
      <c r="B48" s="21">
        <v>44834</v>
      </c>
      <c r="C48" s="18" t="s">
        <v>6</v>
      </c>
      <c r="D48" s="11" t="s">
        <v>43</v>
      </c>
      <c r="E48" s="19">
        <v>180</v>
      </c>
      <c r="F48" s="20" cm="1">
        <f t="array" ref="F48">_xlfn.XLOOKUP(TB_Entradas[[#This Row],[Produto]],TB_Produtos[[#All],[Produto]],TB_Produtos[[#All],[Custo Unitário]],"Produto não Encontrado",0,1)</f>
        <v>2</v>
      </c>
      <c r="G48" s="20">
        <f>IFERROR(TB_Entradas[[#This Row],[Quantidade Comprada]]*TB_Entradas[[#This Row],[Custo Unitário]],"Erro ao calcular")</f>
        <v>360</v>
      </c>
    </row>
    <row r="49" spans="2:7" x14ac:dyDescent="0.25">
      <c r="B49" s="21">
        <v>44835</v>
      </c>
      <c r="C49" s="18" t="s">
        <v>19</v>
      </c>
      <c r="D49" s="11" t="s">
        <v>43</v>
      </c>
      <c r="E49" s="19">
        <v>46</v>
      </c>
      <c r="F49" s="20" cm="1">
        <f t="array" ref="F49">_xlfn.XLOOKUP(TB_Entradas[[#This Row],[Produto]],TB_Produtos[[#All],[Produto]],TB_Produtos[[#All],[Custo Unitário]],"Produto não Encontrado",0,1)</f>
        <v>0.25</v>
      </c>
      <c r="G49" s="20">
        <f>IFERROR(TB_Entradas[[#This Row],[Quantidade Comprada]]*TB_Entradas[[#This Row],[Custo Unitário]],"Erro ao calcular")</f>
        <v>11.5</v>
      </c>
    </row>
    <row r="50" spans="2:7" x14ac:dyDescent="0.25">
      <c r="B50" s="21">
        <v>44841</v>
      </c>
      <c r="C50" s="18" t="s">
        <v>25</v>
      </c>
      <c r="D50" s="11" t="s">
        <v>56</v>
      </c>
      <c r="E50" s="19">
        <v>35</v>
      </c>
      <c r="F50" s="20" cm="1">
        <f t="array" ref="F50">_xlfn.XLOOKUP(TB_Entradas[[#This Row],[Produto]],TB_Produtos[[#All],[Produto]],TB_Produtos[[#All],[Custo Unitário]],"Produto não Encontrado",0,1)</f>
        <v>0.25</v>
      </c>
      <c r="G50" s="20">
        <f>IFERROR(TB_Entradas[[#This Row],[Quantidade Comprada]]*TB_Entradas[[#This Row],[Custo Unitário]],"Erro ao calcular")</f>
        <v>8.75</v>
      </c>
    </row>
    <row r="51" spans="2:7" x14ac:dyDescent="0.25">
      <c r="B51" s="21">
        <v>44854</v>
      </c>
      <c r="C51" s="18" t="s">
        <v>6</v>
      </c>
      <c r="D51" s="11" t="s">
        <v>43</v>
      </c>
      <c r="E51" s="19">
        <v>100</v>
      </c>
      <c r="F51" s="20" cm="1">
        <f t="array" ref="F51">_xlfn.XLOOKUP(TB_Entradas[[#This Row],[Produto]],TB_Produtos[[#All],[Produto]],TB_Produtos[[#All],[Custo Unitário]],"Produto não Encontrado",0,1)</f>
        <v>2</v>
      </c>
      <c r="G51" s="20">
        <f>IFERROR(TB_Entradas[[#This Row],[Quantidade Comprada]]*TB_Entradas[[#This Row],[Custo Unitário]],"Erro ao calcular")</f>
        <v>200</v>
      </c>
    </row>
    <row r="52" spans="2:7" x14ac:dyDescent="0.25">
      <c r="B52" s="21">
        <v>44859</v>
      </c>
      <c r="C52" s="18" t="s">
        <v>10</v>
      </c>
      <c r="D52" s="11" t="s">
        <v>56</v>
      </c>
      <c r="E52" s="19">
        <v>55</v>
      </c>
      <c r="F52" s="20" cm="1">
        <f t="array" ref="F52">_xlfn.XLOOKUP(TB_Entradas[[#This Row],[Produto]],TB_Produtos[[#All],[Produto]],TB_Produtos[[#All],[Custo Unitário]],"Produto não Encontrado",0,1)</f>
        <v>0.5</v>
      </c>
      <c r="G52" s="20">
        <f>IFERROR(TB_Entradas[[#This Row],[Quantidade Comprada]]*TB_Entradas[[#This Row],[Custo Unitário]],"Erro ao calcular")</f>
        <v>27.5</v>
      </c>
    </row>
    <row r="53" spans="2:7" x14ac:dyDescent="0.25">
      <c r="B53" s="21">
        <v>44874</v>
      </c>
      <c r="C53" s="18" t="s">
        <v>29</v>
      </c>
      <c r="D53" s="11" t="s">
        <v>51</v>
      </c>
      <c r="E53" s="19">
        <v>100</v>
      </c>
      <c r="F53" s="20" cm="1">
        <f t="array" ref="F53">_xlfn.XLOOKUP(TB_Entradas[[#This Row],[Produto]],TB_Produtos[[#All],[Produto]],TB_Produtos[[#All],[Custo Unitário]],"Produto não Encontrado",0,1)</f>
        <v>0.25</v>
      </c>
      <c r="G53" s="20">
        <f>IFERROR(TB_Entradas[[#This Row],[Quantidade Comprada]]*TB_Entradas[[#This Row],[Custo Unitário]],"Erro ao calcular")</f>
        <v>25</v>
      </c>
    </row>
    <row r="54" spans="2:7" x14ac:dyDescent="0.25">
      <c r="B54" s="21">
        <v>44880</v>
      </c>
      <c r="C54" s="18" t="s">
        <v>6</v>
      </c>
      <c r="D54" s="11" t="s">
        <v>43</v>
      </c>
      <c r="E54" s="19">
        <v>80</v>
      </c>
      <c r="F54" s="20" cm="1">
        <f t="array" ref="F54">_xlfn.XLOOKUP(TB_Entradas[[#This Row],[Produto]],TB_Produtos[[#All],[Produto]],TB_Produtos[[#All],[Custo Unitário]],"Produto não Encontrado",0,1)</f>
        <v>2</v>
      </c>
      <c r="G54" s="20">
        <f>IFERROR(TB_Entradas[[#This Row],[Quantidade Comprada]]*TB_Entradas[[#This Row],[Custo Unitário]],"Erro ao calcular")</f>
        <v>160</v>
      </c>
    </row>
    <row r="55" spans="2:7" x14ac:dyDescent="0.25">
      <c r="B55" s="21">
        <v>44883</v>
      </c>
      <c r="C55" s="18" t="s">
        <v>19</v>
      </c>
      <c r="D55" s="11" t="s">
        <v>43</v>
      </c>
      <c r="E55" s="19">
        <v>45</v>
      </c>
      <c r="F55" s="20" cm="1">
        <f t="array" ref="F55">_xlfn.XLOOKUP(TB_Entradas[[#This Row],[Produto]],TB_Produtos[[#All],[Produto]],TB_Produtos[[#All],[Custo Unitário]],"Produto não Encontrado",0,1)</f>
        <v>0.25</v>
      </c>
      <c r="G55" s="20">
        <f>IFERROR(TB_Entradas[[#This Row],[Quantidade Comprada]]*TB_Entradas[[#This Row],[Custo Unitário]],"Erro ao calcular")</f>
        <v>11.25</v>
      </c>
    </row>
    <row r="56" spans="2:7" x14ac:dyDescent="0.25">
      <c r="B56" s="21">
        <v>44888</v>
      </c>
      <c r="C56" s="18" t="s">
        <v>25</v>
      </c>
      <c r="D56" s="11" t="s">
        <v>56</v>
      </c>
      <c r="E56" s="19">
        <v>20</v>
      </c>
      <c r="F56" s="20" cm="1">
        <f t="array" ref="F56">_xlfn.XLOOKUP(TB_Entradas[[#This Row],[Produto]],TB_Produtos[[#All],[Produto]],TB_Produtos[[#All],[Custo Unitário]],"Produto não Encontrado",0,1)</f>
        <v>0.25</v>
      </c>
      <c r="G56" s="20">
        <f>IFERROR(TB_Entradas[[#This Row],[Quantidade Comprada]]*TB_Entradas[[#This Row],[Custo Unitário]],"Erro ao calcular")</f>
        <v>5</v>
      </c>
    </row>
    <row r="57" spans="2:7" x14ac:dyDescent="0.25">
      <c r="B57" s="21">
        <v>44895</v>
      </c>
      <c r="C57" s="18" t="s">
        <v>10</v>
      </c>
      <c r="D57" s="11" t="s">
        <v>56</v>
      </c>
      <c r="E57" s="19">
        <v>35</v>
      </c>
      <c r="F57" s="20" cm="1">
        <f t="array" ref="F57">_xlfn.XLOOKUP(TB_Entradas[[#This Row],[Produto]],TB_Produtos[[#All],[Produto]],TB_Produtos[[#All],[Custo Unitário]],"Produto não Encontrado",0,1)</f>
        <v>0.5</v>
      </c>
      <c r="G57" s="20">
        <f>IFERROR(TB_Entradas[[#This Row],[Quantidade Comprada]]*TB_Entradas[[#This Row],[Custo Unitário]],"Erro ao calcular")</f>
        <v>17.5</v>
      </c>
    </row>
    <row r="58" spans="2:7" x14ac:dyDescent="0.25">
      <c r="B58" s="21">
        <v>44907</v>
      </c>
      <c r="C58" s="18" t="s">
        <v>6</v>
      </c>
      <c r="D58" s="11" t="s">
        <v>43</v>
      </c>
      <c r="E58" s="22">
        <v>200</v>
      </c>
      <c r="F58" s="20" cm="1">
        <f t="array" ref="F58">_xlfn.XLOOKUP(TB_Entradas[[#This Row],[Produto]],TB_Produtos[[#All],[Produto]],TB_Produtos[[#All],[Custo Unitário]],"Produto não Encontrado",0,1)</f>
        <v>2</v>
      </c>
      <c r="G58" s="20">
        <f>IFERROR(TB_Entradas[[#This Row],[Quantidade Comprada]]*TB_Entradas[[#This Row],[Custo Unitário]],"Erro ao calcular")</f>
        <v>400</v>
      </c>
    </row>
    <row r="59" spans="2:7" x14ac:dyDescent="0.25">
      <c r="B59" s="21">
        <v>44910</v>
      </c>
      <c r="C59" s="18" t="s">
        <v>19</v>
      </c>
      <c r="D59" s="11" t="s">
        <v>43</v>
      </c>
      <c r="E59" s="22">
        <v>40</v>
      </c>
      <c r="F59" s="20" cm="1">
        <f t="array" ref="F59">_xlfn.XLOOKUP(TB_Entradas[[#This Row],[Produto]],TB_Produtos[[#All],[Produto]],TB_Produtos[[#All],[Custo Unitário]],"Produto não Encontrado",0,1)</f>
        <v>0.25</v>
      </c>
      <c r="G59" s="20">
        <f>IFERROR(TB_Entradas[[#This Row],[Quantidade Comprada]]*TB_Entradas[[#This Row],[Custo Unitário]],"Erro ao calcular")</f>
        <v>10</v>
      </c>
    </row>
  </sheetData>
  <dataValidations disablePrompts="1" count="1">
    <dataValidation type="list" allowBlank="1" showInputMessage="1" showErrorMessage="1" sqref="C6:C59" xr:uid="{30B5F2FC-77F0-434A-8A4F-A5BAEF973762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dimension ref="B1:F63"/>
  <sheetViews>
    <sheetView showGridLines="0" zoomScale="140" zoomScaleNormal="140" workbookViewId="0">
      <selection activeCell="C5" sqref="C5"/>
    </sheetView>
  </sheetViews>
  <sheetFormatPr defaultColWidth="9.140625" defaultRowHeight="15" x14ac:dyDescent="0.25"/>
  <cols>
    <col min="1" max="1" width="5.28515625" customWidth="1"/>
    <col min="2" max="2" width="15.28515625" customWidth="1"/>
    <col min="3" max="3" width="20.85546875" customWidth="1"/>
    <col min="4" max="4" width="23.28515625" customWidth="1"/>
    <col min="5" max="5" width="17.28515625" customWidth="1"/>
    <col min="6" max="6" width="17.5703125" customWidth="1"/>
  </cols>
  <sheetData>
    <row r="1" spans="2:6" s="6" customFormat="1" ht="60" customHeight="1" x14ac:dyDescent="0.25">
      <c r="D1" s="13" t="s">
        <v>65</v>
      </c>
      <c r="E1" s="7"/>
    </row>
    <row r="2" spans="2:6" s="8" customFormat="1" ht="6" customHeight="1" x14ac:dyDescent="0.25">
      <c r="E2" s="9"/>
    </row>
    <row r="5" spans="2:6" x14ac:dyDescent="0.25">
      <c r="B5" s="15" t="s">
        <v>61</v>
      </c>
      <c r="C5" s="15" t="s">
        <v>1</v>
      </c>
      <c r="D5" s="15" t="s">
        <v>66</v>
      </c>
      <c r="E5" s="16" t="s">
        <v>5</v>
      </c>
      <c r="F5" s="16" t="s">
        <v>67</v>
      </c>
    </row>
    <row r="6" spans="2:6" x14ac:dyDescent="0.25">
      <c r="B6" s="17">
        <v>44566</v>
      </c>
      <c r="C6" s="18" t="s">
        <v>10</v>
      </c>
      <c r="D6" s="11">
        <v>30</v>
      </c>
      <c r="E6" s="24" cm="1">
        <f t="array" ref="E6">_xlfn.XLOOKUP(TB_Saídas[[#This Row],[Produto]],TB_Produtos[[#All],[Produto]],TB_Produtos[[#All],[Preço Unitário]],"Produto não Encontrado",0,1)</f>
        <v>6.5</v>
      </c>
      <c r="F6" s="20">
        <f>IFERROR(TB_Saídas[[#This Row],[Quantidade Vendida]]*TB_Saídas[[#This Row],[Preço Unitário]],"Não foi possível calcular")</f>
        <v>195</v>
      </c>
    </row>
    <row r="7" spans="2:6" x14ac:dyDescent="0.25">
      <c r="B7" s="17">
        <v>44567</v>
      </c>
      <c r="C7" s="18" t="s">
        <v>6</v>
      </c>
      <c r="D7" s="11">
        <v>80</v>
      </c>
      <c r="E7" s="24" cm="1">
        <f t="array" ref="E7">_xlfn.XLOOKUP(TB_Saídas[[#This Row],[Produto]],TB_Produtos[[#All],[Produto]],TB_Produtos[[#All],[Preço Unitário]],"Produto não Encontrado",0,1)</f>
        <v>6</v>
      </c>
      <c r="F7" s="20">
        <f>IFERROR(TB_Saídas[[#This Row],[Quantidade Vendida]]*TB_Saídas[[#This Row],[Preço Unitário]],"Não foi possível calcular")</f>
        <v>480</v>
      </c>
    </row>
    <row r="8" spans="2:6" x14ac:dyDescent="0.25">
      <c r="B8" s="17">
        <v>44581</v>
      </c>
      <c r="C8" s="18" t="s">
        <v>25</v>
      </c>
      <c r="D8" s="11">
        <v>50</v>
      </c>
      <c r="E8" s="24" cm="1">
        <f t="array" ref="E8">_xlfn.XLOOKUP(TB_Saídas[[#This Row],[Produto]],TB_Produtos[[#All],[Produto]],TB_Produtos[[#All],[Preço Unitário]],"Produto não Encontrado",0,1)</f>
        <v>7.5</v>
      </c>
      <c r="F8" s="20">
        <f>IFERROR(TB_Saídas[[#This Row],[Quantidade Vendida]]*TB_Saídas[[#This Row],[Preço Unitário]],"Não foi possível calcular")</f>
        <v>375</v>
      </c>
    </row>
    <row r="9" spans="2:6" x14ac:dyDescent="0.25">
      <c r="B9" s="17">
        <v>44586</v>
      </c>
      <c r="C9" s="18" t="s">
        <v>19</v>
      </c>
      <c r="D9" s="11">
        <v>50</v>
      </c>
      <c r="E9" s="24" cm="1">
        <f t="array" ref="E9">_xlfn.XLOOKUP(TB_Saídas[[#This Row],[Produto]],TB_Produtos[[#All],[Produto]],TB_Produtos[[#All],[Preço Unitário]],"Produto não Encontrado",0,1)</f>
        <v>8.5</v>
      </c>
      <c r="F9" s="20">
        <f>IFERROR(TB_Saídas[[#This Row],[Quantidade Vendida]]*TB_Saídas[[#This Row],[Preço Unitário]],"Não foi possível calcular")</f>
        <v>425</v>
      </c>
    </row>
    <row r="10" spans="2:6" x14ac:dyDescent="0.25">
      <c r="B10" s="17">
        <v>44597</v>
      </c>
      <c r="C10" s="18" t="s">
        <v>25</v>
      </c>
      <c r="D10" s="11">
        <v>30</v>
      </c>
      <c r="E10" s="24" cm="1">
        <f t="array" ref="E10">_xlfn.XLOOKUP(TB_Saídas[[#This Row],[Produto]],TB_Produtos[[#All],[Produto]],TB_Produtos[[#All],[Preço Unitário]],"Produto não Encontrado",0,1)</f>
        <v>7.5</v>
      </c>
      <c r="F10" s="20">
        <f>IFERROR(TB_Saídas[[#This Row],[Quantidade Vendida]]*TB_Saídas[[#This Row],[Preço Unitário]],"Não foi possível calcular")</f>
        <v>225</v>
      </c>
    </row>
    <row r="11" spans="2:6" x14ac:dyDescent="0.25">
      <c r="B11" s="17">
        <v>44598</v>
      </c>
      <c r="C11" s="18" t="s">
        <v>6</v>
      </c>
      <c r="D11" s="11">
        <v>110</v>
      </c>
      <c r="E11" s="24" cm="1">
        <f t="array" ref="E11">_xlfn.XLOOKUP(TB_Saídas[[#This Row],[Produto]],TB_Produtos[[#All],[Produto]],TB_Produtos[[#All],[Preço Unitário]],"Produto não Encontrado",0,1)</f>
        <v>6</v>
      </c>
      <c r="F11" s="20">
        <f>IFERROR(TB_Saídas[[#This Row],[Quantidade Vendida]]*TB_Saídas[[#This Row],[Preço Unitário]],"Não foi possível calcular")</f>
        <v>660</v>
      </c>
    </row>
    <row r="12" spans="2:6" x14ac:dyDescent="0.25">
      <c r="B12" s="17">
        <v>44602</v>
      </c>
      <c r="C12" s="18" t="s">
        <v>19</v>
      </c>
      <c r="D12" s="11">
        <v>75</v>
      </c>
      <c r="E12" s="24" cm="1">
        <f t="array" ref="E12">_xlfn.XLOOKUP(TB_Saídas[[#This Row],[Produto]],TB_Produtos[[#All],[Produto]],TB_Produtos[[#All],[Preço Unitário]],"Produto não Encontrado",0,1)</f>
        <v>8.5</v>
      </c>
      <c r="F12" s="20">
        <f>IFERROR(TB_Saídas[[#This Row],[Quantidade Vendida]]*TB_Saídas[[#This Row],[Preço Unitário]],"Não foi possível calcular")</f>
        <v>637.5</v>
      </c>
    </row>
    <row r="13" spans="2:6" x14ac:dyDescent="0.25">
      <c r="B13" s="17">
        <v>44620</v>
      </c>
      <c r="C13" s="18" t="s">
        <v>10</v>
      </c>
      <c r="D13" s="11">
        <v>20</v>
      </c>
      <c r="E13" s="24" cm="1">
        <f t="array" ref="E13">_xlfn.XLOOKUP(TB_Saídas[[#This Row],[Produto]],TB_Produtos[[#All],[Produto]],TB_Produtos[[#All],[Preço Unitário]],"Produto não Encontrado",0,1)</f>
        <v>6.5</v>
      </c>
      <c r="F13" s="20">
        <f>IFERROR(TB_Saídas[[#This Row],[Quantidade Vendida]]*TB_Saídas[[#This Row],[Preço Unitário]],"Não foi possível calcular")</f>
        <v>130</v>
      </c>
    </row>
    <row r="14" spans="2:6" x14ac:dyDescent="0.25">
      <c r="B14" s="17">
        <v>44626</v>
      </c>
      <c r="C14" s="18" t="s">
        <v>36</v>
      </c>
      <c r="D14" s="11">
        <v>110</v>
      </c>
      <c r="E14" s="24" cm="1">
        <f t="array" ref="E14">_xlfn.XLOOKUP(TB_Saídas[[#This Row],[Produto]],TB_Produtos[[#All],[Produto]],TB_Produtos[[#All],[Preço Unitário]],"Produto não Encontrado",0,1)</f>
        <v>8</v>
      </c>
      <c r="F14" s="20">
        <f>IFERROR(TB_Saídas[[#This Row],[Quantidade Vendida]]*TB_Saídas[[#This Row],[Preço Unitário]],"Não foi possível calcular")</f>
        <v>880</v>
      </c>
    </row>
    <row r="15" spans="2:6" x14ac:dyDescent="0.25">
      <c r="B15" s="17">
        <v>44631</v>
      </c>
      <c r="C15" s="18" t="s">
        <v>25</v>
      </c>
      <c r="D15" s="11">
        <v>40</v>
      </c>
      <c r="E15" s="24" cm="1">
        <f t="array" ref="E15">_xlfn.XLOOKUP(TB_Saídas[[#This Row],[Produto]],TB_Produtos[[#All],[Produto]],TB_Produtos[[#All],[Preço Unitário]],"Produto não Encontrado",0,1)</f>
        <v>7.5</v>
      </c>
      <c r="F15" s="20">
        <f>IFERROR(TB_Saídas[[#This Row],[Quantidade Vendida]]*TB_Saídas[[#This Row],[Preço Unitário]],"Não foi possível calcular")</f>
        <v>300</v>
      </c>
    </row>
    <row r="16" spans="2:6" x14ac:dyDescent="0.25">
      <c r="B16" s="17">
        <v>44646</v>
      </c>
      <c r="C16" s="18" t="s">
        <v>19</v>
      </c>
      <c r="D16" s="11">
        <v>50</v>
      </c>
      <c r="E16" s="24" cm="1">
        <f t="array" ref="E16">_xlfn.XLOOKUP(TB_Saídas[[#This Row],[Produto]],TB_Produtos[[#All],[Produto]],TB_Produtos[[#All],[Preço Unitário]],"Produto não Encontrado",0,1)</f>
        <v>8.5</v>
      </c>
      <c r="F16" s="20">
        <f>IFERROR(TB_Saídas[[#This Row],[Quantidade Vendida]]*TB_Saídas[[#This Row],[Preço Unitário]],"Não foi possível calcular")</f>
        <v>425</v>
      </c>
    </row>
    <row r="17" spans="2:6" x14ac:dyDescent="0.25">
      <c r="B17" s="17">
        <v>44649</v>
      </c>
      <c r="C17" s="18" t="s">
        <v>10</v>
      </c>
      <c r="D17" s="11">
        <v>15</v>
      </c>
      <c r="E17" s="24" cm="1">
        <f t="array" ref="E17">_xlfn.XLOOKUP(TB_Saídas[[#This Row],[Produto]],TB_Produtos[[#All],[Produto]],TB_Produtos[[#All],[Preço Unitário]],"Produto não Encontrado",0,1)</f>
        <v>6.5</v>
      </c>
      <c r="F17" s="20">
        <f>IFERROR(TB_Saídas[[#This Row],[Quantidade Vendida]]*TB_Saídas[[#This Row],[Preço Unitário]],"Não foi possível calcular")</f>
        <v>97.5</v>
      </c>
    </row>
    <row r="18" spans="2:6" x14ac:dyDescent="0.25">
      <c r="B18" s="17">
        <v>44630</v>
      </c>
      <c r="C18" s="18" t="s">
        <v>6</v>
      </c>
      <c r="D18" s="11">
        <v>100</v>
      </c>
      <c r="E18" s="24" cm="1">
        <f t="array" ref="E18">_xlfn.XLOOKUP(TB_Saídas[[#This Row],[Produto]],TB_Produtos[[#All],[Produto]],TB_Produtos[[#All],[Preço Unitário]],"Produto não Encontrado",0,1)</f>
        <v>6</v>
      </c>
      <c r="F18" s="20">
        <f>IFERROR(TB_Saídas[[#This Row],[Quantidade Vendida]]*TB_Saídas[[#This Row],[Preço Unitário]],"Não foi possível calcular")</f>
        <v>600</v>
      </c>
    </row>
    <row r="19" spans="2:6" x14ac:dyDescent="0.25">
      <c r="B19" s="17">
        <v>44659</v>
      </c>
      <c r="C19" s="18" t="s">
        <v>10</v>
      </c>
      <c r="D19" s="11">
        <v>40</v>
      </c>
      <c r="E19" s="24" cm="1">
        <f t="array" ref="E19">_xlfn.XLOOKUP(TB_Saídas[[#This Row],[Produto]],TB_Produtos[[#All],[Produto]],TB_Produtos[[#All],[Preço Unitário]],"Produto não Encontrado",0,1)</f>
        <v>6.5</v>
      </c>
      <c r="F19" s="20">
        <f>IFERROR(TB_Saídas[[#This Row],[Quantidade Vendida]]*TB_Saídas[[#This Row],[Preço Unitário]],"Não foi possível calcular")</f>
        <v>260</v>
      </c>
    </row>
    <row r="20" spans="2:6" x14ac:dyDescent="0.25">
      <c r="B20" s="17">
        <v>44663</v>
      </c>
      <c r="C20" s="18" t="s">
        <v>6</v>
      </c>
      <c r="D20" s="11">
        <v>75</v>
      </c>
      <c r="E20" s="24" cm="1">
        <f t="array" ref="E20">_xlfn.XLOOKUP(TB_Saídas[[#This Row],[Produto]],TB_Produtos[[#All],[Produto]],TB_Produtos[[#All],[Preço Unitário]],"Produto não Encontrado",0,1)</f>
        <v>6</v>
      </c>
      <c r="F20" s="20">
        <f>IFERROR(TB_Saídas[[#This Row],[Quantidade Vendida]]*TB_Saídas[[#This Row],[Preço Unitário]],"Não foi possível calcular")</f>
        <v>450</v>
      </c>
    </row>
    <row r="21" spans="2:6" x14ac:dyDescent="0.25">
      <c r="B21" s="17">
        <v>44667</v>
      </c>
      <c r="C21" s="18" t="s">
        <v>31</v>
      </c>
      <c r="D21" s="11">
        <v>25</v>
      </c>
      <c r="E21" s="24" cm="1">
        <f t="array" ref="E21">_xlfn.XLOOKUP(TB_Saídas[[#This Row],[Produto]],TB_Produtos[[#All],[Produto]],TB_Produtos[[#All],[Preço Unitário]],"Produto não Encontrado",0,1)</f>
        <v>8</v>
      </c>
      <c r="F21" s="20">
        <f>IFERROR(TB_Saídas[[#This Row],[Quantidade Vendida]]*TB_Saídas[[#This Row],[Preço Unitário]],"Não foi possível calcular")</f>
        <v>200</v>
      </c>
    </row>
    <row r="22" spans="2:6" x14ac:dyDescent="0.25">
      <c r="B22" s="17">
        <v>44671</v>
      </c>
      <c r="C22" s="18" t="s">
        <v>25</v>
      </c>
      <c r="D22" s="11">
        <v>40</v>
      </c>
      <c r="E22" s="24" cm="1">
        <f t="array" ref="E22">_xlfn.XLOOKUP(TB_Saídas[[#This Row],[Produto]],TB_Produtos[[#All],[Produto]],TB_Produtos[[#All],[Preço Unitário]],"Produto não Encontrado",0,1)</f>
        <v>7.5</v>
      </c>
      <c r="F22" s="20">
        <f>IFERROR(TB_Saídas[[#This Row],[Quantidade Vendida]]*TB_Saídas[[#This Row],[Preço Unitário]],"Não foi possível calcular")</f>
        <v>300</v>
      </c>
    </row>
    <row r="23" spans="2:6" x14ac:dyDescent="0.25">
      <c r="B23" s="17">
        <v>44681</v>
      </c>
      <c r="C23" s="18" t="s">
        <v>19</v>
      </c>
      <c r="D23" s="11">
        <v>35</v>
      </c>
      <c r="E23" s="24" cm="1">
        <f t="array" ref="E23">_xlfn.XLOOKUP(TB_Saídas[[#This Row],[Produto]],TB_Produtos[[#All],[Produto]],TB_Produtos[[#All],[Preço Unitário]],"Produto não Encontrado",0,1)</f>
        <v>8.5</v>
      </c>
      <c r="F23" s="20">
        <f>IFERROR(TB_Saídas[[#This Row],[Quantidade Vendida]]*TB_Saídas[[#This Row],[Preço Unitário]],"Não foi possível calcular")</f>
        <v>297.5</v>
      </c>
    </row>
    <row r="24" spans="2:6" x14ac:dyDescent="0.25">
      <c r="B24" s="17">
        <v>44691</v>
      </c>
      <c r="C24" s="18" t="s">
        <v>25</v>
      </c>
      <c r="D24" s="11">
        <v>35</v>
      </c>
      <c r="E24" s="24" cm="1">
        <f t="array" ref="E24">_xlfn.XLOOKUP(TB_Saídas[[#This Row],[Produto]],TB_Produtos[[#All],[Produto]],TB_Produtos[[#All],[Preço Unitário]],"Produto não Encontrado",0,1)</f>
        <v>7.5</v>
      </c>
      <c r="F24" s="20">
        <f>IFERROR(TB_Saídas[[#This Row],[Quantidade Vendida]]*TB_Saídas[[#This Row],[Preço Unitário]],"Não foi possível calcular")</f>
        <v>262.5</v>
      </c>
    </row>
    <row r="25" spans="2:6" x14ac:dyDescent="0.25">
      <c r="B25" s="17">
        <v>44692</v>
      </c>
      <c r="C25" s="18" t="s">
        <v>27</v>
      </c>
      <c r="D25" s="11">
        <v>20</v>
      </c>
      <c r="E25" s="24" cm="1">
        <f t="array" ref="E25">_xlfn.XLOOKUP(TB_Saídas[[#This Row],[Produto]],TB_Produtos[[#All],[Produto]],TB_Produtos[[#All],[Preço Unitário]],"Produto não Encontrado",0,1)</f>
        <v>15</v>
      </c>
      <c r="F25" s="20">
        <f>IFERROR(TB_Saídas[[#This Row],[Quantidade Vendida]]*TB_Saídas[[#This Row],[Preço Unitário]],"Não foi possível calcular")</f>
        <v>300</v>
      </c>
    </row>
    <row r="26" spans="2:6" x14ac:dyDescent="0.25">
      <c r="B26" s="17">
        <v>44692</v>
      </c>
      <c r="C26" s="18" t="s">
        <v>6</v>
      </c>
      <c r="D26" s="11">
        <v>75</v>
      </c>
      <c r="E26" s="24" cm="1">
        <f t="array" ref="E26">_xlfn.XLOOKUP(TB_Saídas[[#This Row],[Produto]],TB_Produtos[[#All],[Produto]],TB_Produtos[[#All],[Preço Unitário]],"Produto não Encontrado",0,1)</f>
        <v>6</v>
      </c>
      <c r="F26" s="20">
        <f>IFERROR(TB_Saídas[[#This Row],[Quantidade Vendida]]*TB_Saídas[[#This Row],[Preço Unitário]],"Não foi possível calcular")</f>
        <v>450</v>
      </c>
    </row>
    <row r="27" spans="2:6" x14ac:dyDescent="0.25">
      <c r="B27" s="17">
        <v>44700</v>
      </c>
      <c r="C27" s="18" t="s">
        <v>19</v>
      </c>
      <c r="D27" s="11">
        <v>27</v>
      </c>
      <c r="E27" s="24" cm="1">
        <f t="array" ref="E27">_xlfn.XLOOKUP(TB_Saídas[[#This Row],[Produto]],TB_Produtos[[#All],[Produto]],TB_Produtos[[#All],[Preço Unitário]],"Produto não Encontrado",0,1)</f>
        <v>8.5</v>
      </c>
      <c r="F27" s="20">
        <f>IFERROR(TB_Saídas[[#This Row],[Quantidade Vendida]]*TB_Saídas[[#This Row],[Preço Unitário]],"Não foi possível calcular")</f>
        <v>229.5</v>
      </c>
    </row>
    <row r="28" spans="2:6" x14ac:dyDescent="0.25">
      <c r="B28" s="17">
        <v>44700</v>
      </c>
      <c r="C28" s="18" t="s">
        <v>10</v>
      </c>
      <c r="D28" s="11">
        <v>20</v>
      </c>
      <c r="E28" s="24" cm="1">
        <f t="array" ref="E28">_xlfn.XLOOKUP(TB_Saídas[[#This Row],[Produto]],TB_Produtos[[#All],[Produto]],TB_Produtos[[#All],[Preço Unitário]],"Produto não Encontrado",0,1)</f>
        <v>6.5</v>
      </c>
      <c r="F28" s="20">
        <f>IFERROR(TB_Saídas[[#This Row],[Quantidade Vendida]]*TB_Saídas[[#This Row],[Preço Unitário]],"Não foi possível calcular")</f>
        <v>130</v>
      </c>
    </row>
    <row r="29" spans="2:6" x14ac:dyDescent="0.25">
      <c r="B29" s="17">
        <v>44737</v>
      </c>
      <c r="C29" s="18" t="s">
        <v>19</v>
      </c>
      <c r="D29" s="11">
        <v>35</v>
      </c>
      <c r="E29" s="24" cm="1">
        <f t="array" ref="E29">_xlfn.XLOOKUP(TB_Saídas[[#This Row],[Produto]],TB_Produtos[[#All],[Produto]],TB_Produtos[[#All],[Preço Unitário]],"Produto não Encontrado",0,1)</f>
        <v>8.5</v>
      </c>
      <c r="F29" s="20">
        <f>IFERROR(TB_Saídas[[#This Row],[Quantidade Vendida]]*TB_Saídas[[#This Row],[Preço Unitário]],"Não foi possível calcular")</f>
        <v>297.5</v>
      </c>
    </row>
    <row r="30" spans="2:6" x14ac:dyDescent="0.25">
      <c r="B30" s="17">
        <v>44738</v>
      </c>
      <c r="C30" s="18" t="s">
        <v>6</v>
      </c>
      <c r="D30" s="11">
        <v>100</v>
      </c>
      <c r="E30" s="24" cm="1">
        <f t="array" ref="E30">_xlfn.XLOOKUP(TB_Saídas[[#This Row],[Produto]],TB_Produtos[[#All],[Produto]],TB_Produtos[[#All],[Preço Unitário]],"Produto não Encontrado",0,1)</f>
        <v>6</v>
      </c>
      <c r="F30" s="20">
        <f>IFERROR(TB_Saídas[[#This Row],[Quantidade Vendida]]*TB_Saídas[[#This Row],[Preço Unitário]],"Não foi possível calcular")</f>
        <v>600</v>
      </c>
    </row>
    <row r="31" spans="2:6" x14ac:dyDescent="0.25">
      <c r="B31" s="17">
        <v>44738</v>
      </c>
      <c r="C31" s="18" t="s">
        <v>25</v>
      </c>
      <c r="D31" s="11">
        <v>20</v>
      </c>
      <c r="E31" s="24" cm="1">
        <f t="array" ref="E31">_xlfn.XLOOKUP(TB_Saídas[[#This Row],[Produto]],TB_Produtos[[#All],[Produto]],TB_Produtos[[#All],[Preço Unitário]],"Produto não Encontrado",0,1)</f>
        <v>7.5</v>
      </c>
      <c r="F31" s="20">
        <f>IFERROR(TB_Saídas[[#This Row],[Quantidade Vendida]]*TB_Saídas[[#This Row],[Preço Unitário]],"Não foi possível calcular")</f>
        <v>150</v>
      </c>
    </row>
    <row r="32" spans="2:6" x14ac:dyDescent="0.25">
      <c r="B32" s="17">
        <v>44739</v>
      </c>
      <c r="C32" s="18" t="s">
        <v>10</v>
      </c>
      <c r="D32" s="11">
        <v>15</v>
      </c>
      <c r="E32" s="24" cm="1">
        <f t="array" ref="E32">_xlfn.XLOOKUP(TB_Saídas[[#This Row],[Produto]],TB_Produtos[[#All],[Produto]],TB_Produtos[[#All],[Preço Unitário]],"Produto não Encontrado",0,1)</f>
        <v>6.5</v>
      </c>
      <c r="F32" s="20">
        <f>IFERROR(TB_Saídas[[#This Row],[Quantidade Vendida]]*TB_Saídas[[#This Row],[Preço Unitário]],"Não foi possível calcular")</f>
        <v>97.5</v>
      </c>
    </row>
    <row r="33" spans="2:6" x14ac:dyDescent="0.25">
      <c r="B33" s="17">
        <v>44749</v>
      </c>
      <c r="C33" s="18" t="s">
        <v>26</v>
      </c>
      <c r="D33" s="11">
        <v>40</v>
      </c>
      <c r="E33" s="24" cm="1">
        <f t="array" ref="E33">_xlfn.XLOOKUP(TB_Saídas[[#This Row],[Produto]],TB_Produtos[[#All],[Produto]],TB_Produtos[[#All],[Preço Unitário]],"Produto não Encontrado",0,1)</f>
        <v>10</v>
      </c>
      <c r="F33" s="20">
        <f>IFERROR(TB_Saídas[[#This Row],[Quantidade Vendida]]*TB_Saídas[[#This Row],[Preço Unitário]],"Não foi possível calcular")</f>
        <v>400</v>
      </c>
    </row>
    <row r="34" spans="2:6" x14ac:dyDescent="0.25">
      <c r="B34" s="17">
        <v>44749</v>
      </c>
      <c r="C34" s="18" t="s">
        <v>6</v>
      </c>
      <c r="D34" s="11">
        <v>90</v>
      </c>
      <c r="E34" s="24" cm="1">
        <f t="array" ref="E34">_xlfn.XLOOKUP(TB_Saídas[[#This Row],[Produto]],TB_Produtos[[#All],[Produto]],TB_Produtos[[#All],[Preço Unitário]],"Produto não Encontrado",0,1)</f>
        <v>6</v>
      </c>
      <c r="F34" s="20">
        <f>IFERROR(TB_Saídas[[#This Row],[Quantidade Vendida]]*TB_Saídas[[#This Row],[Preço Unitário]],"Não foi possível calcular")</f>
        <v>540</v>
      </c>
    </row>
    <row r="35" spans="2:6" x14ac:dyDescent="0.25">
      <c r="B35" s="17">
        <v>44758</v>
      </c>
      <c r="C35" s="18" t="s">
        <v>10</v>
      </c>
      <c r="D35" s="11">
        <v>35</v>
      </c>
      <c r="E35" s="24" cm="1">
        <f t="array" ref="E35">_xlfn.XLOOKUP(TB_Saídas[[#This Row],[Produto]],TB_Produtos[[#All],[Produto]],TB_Produtos[[#All],[Preço Unitário]],"Produto não Encontrado",0,1)</f>
        <v>6.5</v>
      </c>
      <c r="F35" s="20">
        <f>IFERROR(TB_Saídas[[#This Row],[Quantidade Vendida]]*TB_Saídas[[#This Row],[Preço Unitário]],"Não foi possível calcular")</f>
        <v>227.5</v>
      </c>
    </row>
    <row r="36" spans="2:6" x14ac:dyDescent="0.25">
      <c r="B36" s="17">
        <v>44765</v>
      </c>
      <c r="C36" s="18" t="s">
        <v>19</v>
      </c>
      <c r="D36" s="11">
        <v>75</v>
      </c>
      <c r="E36" s="24" cm="1">
        <f t="array" ref="E36">_xlfn.XLOOKUP(TB_Saídas[[#This Row],[Produto]],TB_Produtos[[#All],[Produto]],TB_Produtos[[#All],[Preço Unitário]],"Produto não Encontrado",0,1)</f>
        <v>8.5</v>
      </c>
      <c r="F36" s="20">
        <f>IFERROR(TB_Saídas[[#This Row],[Quantidade Vendida]]*TB_Saídas[[#This Row],[Preço Unitário]],"Não foi possível calcular")</f>
        <v>637.5</v>
      </c>
    </row>
    <row r="37" spans="2:6" x14ac:dyDescent="0.25">
      <c r="B37" s="17">
        <v>44772</v>
      </c>
      <c r="C37" s="18" t="s">
        <v>25</v>
      </c>
      <c r="D37" s="11">
        <v>55</v>
      </c>
      <c r="E37" s="24" cm="1">
        <f t="array" ref="E37">_xlfn.XLOOKUP(TB_Saídas[[#This Row],[Produto]],TB_Produtos[[#All],[Produto]],TB_Produtos[[#All],[Preço Unitário]],"Produto não Encontrado",0,1)</f>
        <v>7.5</v>
      </c>
      <c r="F37" s="20">
        <f>IFERROR(TB_Saídas[[#This Row],[Quantidade Vendida]]*TB_Saídas[[#This Row],[Preço Unitário]],"Não foi possível calcular")</f>
        <v>412.5</v>
      </c>
    </row>
    <row r="38" spans="2:6" x14ac:dyDescent="0.25">
      <c r="B38" s="17">
        <v>44792</v>
      </c>
      <c r="C38" s="18" t="s">
        <v>10</v>
      </c>
      <c r="D38" s="11">
        <v>12</v>
      </c>
      <c r="E38" s="24" cm="1">
        <f t="array" ref="E38">_xlfn.XLOOKUP(TB_Saídas[[#This Row],[Produto]],TB_Produtos[[#All],[Produto]],TB_Produtos[[#All],[Preço Unitário]],"Produto não Encontrado",0,1)</f>
        <v>6.5</v>
      </c>
      <c r="F38" s="20">
        <f>IFERROR(TB_Saídas[[#This Row],[Quantidade Vendida]]*TB_Saídas[[#This Row],[Preço Unitário]],"Não foi possível calcular")</f>
        <v>78</v>
      </c>
    </row>
    <row r="39" spans="2:6" x14ac:dyDescent="0.25">
      <c r="B39" s="17">
        <v>44794</v>
      </c>
      <c r="C39" s="18" t="s">
        <v>19</v>
      </c>
      <c r="D39" s="11">
        <v>36</v>
      </c>
      <c r="E39" s="24" cm="1">
        <f t="array" ref="E39">_xlfn.XLOOKUP(TB_Saídas[[#This Row],[Produto]],TB_Produtos[[#All],[Produto]],TB_Produtos[[#All],[Preço Unitário]],"Produto não Encontrado",0,1)</f>
        <v>8.5</v>
      </c>
      <c r="F39" s="20">
        <f>IFERROR(TB_Saídas[[#This Row],[Quantidade Vendida]]*TB_Saídas[[#This Row],[Preço Unitário]],"Não foi possível calcular")</f>
        <v>306</v>
      </c>
    </row>
    <row r="40" spans="2:6" x14ac:dyDescent="0.25">
      <c r="B40" s="17">
        <v>44803</v>
      </c>
      <c r="C40" s="18" t="s">
        <v>23</v>
      </c>
      <c r="D40" s="11">
        <v>90</v>
      </c>
      <c r="E40" s="24" cm="1">
        <f t="array" ref="E40">_xlfn.XLOOKUP(TB_Saídas[[#This Row],[Produto]],TB_Produtos[[#All],[Produto]],TB_Produtos[[#All],[Preço Unitário]],"Produto não Encontrado",0,1)</f>
        <v>5</v>
      </c>
      <c r="F40" s="20">
        <f>IFERROR(TB_Saídas[[#This Row],[Quantidade Vendida]]*TB_Saídas[[#This Row],[Preço Unitário]],"Não foi possível calcular")</f>
        <v>450</v>
      </c>
    </row>
    <row r="41" spans="2:6" x14ac:dyDescent="0.25">
      <c r="B41" s="17">
        <v>44803</v>
      </c>
      <c r="C41" s="18" t="s">
        <v>25</v>
      </c>
      <c r="D41" s="11">
        <v>25</v>
      </c>
      <c r="E41" s="24" cm="1">
        <f t="array" ref="E41">_xlfn.XLOOKUP(TB_Saídas[[#This Row],[Produto]],TB_Produtos[[#All],[Produto]],TB_Produtos[[#All],[Preço Unitário]],"Produto não Encontrado",0,1)</f>
        <v>7.5</v>
      </c>
      <c r="F41" s="20">
        <f>IFERROR(TB_Saídas[[#This Row],[Quantidade Vendida]]*TB_Saídas[[#This Row],[Preço Unitário]],"Não foi possível calcular")</f>
        <v>187.5</v>
      </c>
    </row>
    <row r="42" spans="2:6" x14ac:dyDescent="0.25">
      <c r="B42" s="17">
        <v>44803</v>
      </c>
      <c r="C42" s="18" t="s">
        <v>6</v>
      </c>
      <c r="D42" s="11">
        <v>100</v>
      </c>
      <c r="E42" s="24" cm="1">
        <f t="array" ref="E42">_xlfn.XLOOKUP(TB_Saídas[[#This Row],[Produto]],TB_Produtos[[#All],[Produto]],TB_Produtos[[#All],[Preço Unitário]],"Produto não Encontrado",0,1)</f>
        <v>6</v>
      </c>
      <c r="F42" s="20">
        <f>IFERROR(TB_Saídas[[#This Row],[Quantidade Vendida]]*TB_Saídas[[#This Row],[Preço Unitário]],"Não foi possível calcular")</f>
        <v>600</v>
      </c>
    </row>
    <row r="43" spans="2:6" x14ac:dyDescent="0.25">
      <c r="B43" s="17">
        <v>44811</v>
      </c>
      <c r="C43" s="18" t="s">
        <v>36</v>
      </c>
      <c r="D43" s="11">
        <v>100</v>
      </c>
      <c r="E43" s="24" cm="1">
        <f t="array" ref="E43">_xlfn.XLOOKUP(TB_Saídas[[#This Row],[Produto]],TB_Produtos[[#All],[Produto]],TB_Produtos[[#All],[Preço Unitário]],"Produto não Encontrado",0,1)</f>
        <v>8</v>
      </c>
      <c r="F43" s="20">
        <f>IFERROR(TB_Saídas[[#This Row],[Quantidade Vendida]]*TB_Saídas[[#This Row],[Preço Unitário]],"Não foi possível calcular")</f>
        <v>800</v>
      </c>
    </row>
    <row r="44" spans="2:6" x14ac:dyDescent="0.25">
      <c r="B44" s="17">
        <v>44811</v>
      </c>
      <c r="C44" s="18" t="s">
        <v>6</v>
      </c>
      <c r="D44" s="11">
        <v>35</v>
      </c>
      <c r="E44" s="24" cm="1">
        <f t="array" ref="E44">_xlfn.XLOOKUP(TB_Saídas[[#This Row],[Produto]],TB_Produtos[[#All],[Produto]],TB_Produtos[[#All],[Preço Unitário]],"Produto não Encontrado",0,1)</f>
        <v>6</v>
      </c>
      <c r="F44" s="20">
        <f>IFERROR(TB_Saídas[[#This Row],[Quantidade Vendida]]*TB_Saídas[[#This Row],[Preço Unitário]],"Não foi possível calcular")</f>
        <v>210</v>
      </c>
    </row>
    <row r="45" spans="2:6" x14ac:dyDescent="0.25">
      <c r="B45" s="17">
        <v>44821</v>
      </c>
      <c r="C45" s="18" t="s">
        <v>19</v>
      </c>
      <c r="D45" s="11">
        <v>42</v>
      </c>
      <c r="E45" s="24" cm="1">
        <f t="array" ref="E45">_xlfn.XLOOKUP(TB_Saídas[[#This Row],[Produto]],TB_Produtos[[#All],[Produto]],TB_Produtos[[#All],[Preço Unitário]],"Produto não Encontrado",0,1)</f>
        <v>8.5</v>
      </c>
      <c r="F45" s="20">
        <f>IFERROR(TB_Saídas[[#This Row],[Quantidade Vendida]]*TB_Saídas[[#This Row],[Preço Unitário]],"Não foi possível calcular")</f>
        <v>357</v>
      </c>
    </row>
    <row r="46" spans="2:6" x14ac:dyDescent="0.25">
      <c r="B46" s="17">
        <v>44823</v>
      </c>
      <c r="C46" s="18" t="s">
        <v>28</v>
      </c>
      <c r="D46" s="11">
        <v>30</v>
      </c>
      <c r="E46" s="24" cm="1">
        <f t="array" ref="E46">_xlfn.XLOOKUP(TB_Saídas[[#This Row],[Produto]],TB_Produtos[[#All],[Produto]],TB_Produtos[[#All],[Preço Unitário]],"Produto não Encontrado",0,1)</f>
        <v>15</v>
      </c>
      <c r="F46" s="20">
        <f>IFERROR(TB_Saídas[[#This Row],[Quantidade Vendida]]*TB_Saídas[[#This Row],[Preço Unitário]],"Não foi possível calcular")</f>
        <v>450</v>
      </c>
    </row>
    <row r="47" spans="2:6" x14ac:dyDescent="0.25">
      <c r="B47" s="17">
        <v>44829</v>
      </c>
      <c r="C47" s="18" t="s">
        <v>25</v>
      </c>
      <c r="D47" s="11">
        <v>40</v>
      </c>
      <c r="E47" s="24" cm="1">
        <f t="array" ref="E47">_xlfn.XLOOKUP(TB_Saídas[[#This Row],[Produto]],TB_Produtos[[#All],[Produto]],TB_Produtos[[#All],[Preço Unitário]],"Produto não Encontrado",0,1)</f>
        <v>7.5</v>
      </c>
      <c r="F47" s="20">
        <f>IFERROR(TB_Saídas[[#This Row],[Quantidade Vendida]]*TB_Saídas[[#This Row],[Preço Unitário]],"Não foi possível calcular")</f>
        <v>300</v>
      </c>
    </row>
    <row r="48" spans="2:6" x14ac:dyDescent="0.25">
      <c r="B48" s="17">
        <v>44834</v>
      </c>
      <c r="C48" s="18" t="s">
        <v>10</v>
      </c>
      <c r="D48" s="11">
        <v>18</v>
      </c>
      <c r="E48" s="24" cm="1">
        <f t="array" ref="E48">_xlfn.XLOOKUP(TB_Saídas[[#This Row],[Produto]],TB_Produtos[[#All],[Produto]],TB_Produtos[[#All],[Preço Unitário]],"Produto não Encontrado",0,1)</f>
        <v>6.5</v>
      </c>
      <c r="F48" s="20">
        <f>IFERROR(TB_Saídas[[#This Row],[Quantidade Vendida]]*TB_Saídas[[#This Row],[Preço Unitário]],"Não foi possível calcular")</f>
        <v>117</v>
      </c>
    </row>
    <row r="49" spans="2:6" x14ac:dyDescent="0.25">
      <c r="B49" s="17">
        <v>44838</v>
      </c>
      <c r="C49" s="18" t="s">
        <v>19</v>
      </c>
      <c r="D49" s="11">
        <v>28</v>
      </c>
      <c r="E49" s="24" cm="1">
        <f t="array" ref="E49">_xlfn.XLOOKUP(TB_Saídas[[#This Row],[Produto]],TB_Produtos[[#All],[Produto]],TB_Produtos[[#All],[Preço Unitário]],"Produto não Encontrado",0,1)</f>
        <v>8.5</v>
      </c>
      <c r="F49" s="20">
        <f>IFERROR(TB_Saídas[[#This Row],[Quantidade Vendida]]*TB_Saídas[[#This Row],[Preço Unitário]],"Não foi possível calcular")</f>
        <v>238</v>
      </c>
    </row>
    <row r="50" spans="2:6" x14ac:dyDescent="0.25">
      <c r="B50" s="17">
        <v>44847</v>
      </c>
      <c r="C50" s="18" t="s">
        <v>27</v>
      </c>
      <c r="D50" s="11">
        <v>30</v>
      </c>
      <c r="E50" s="24" cm="1">
        <f t="array" ref="E50">_xlfn.XLOOKUP(TB_Saídas[[#This Row],[Produto]],TB_Produtos[[#All],[Produto]],TB_Produtos[[#All],[Preço Unitário]],"Produto não Encontrado",0,1)</f>
        <v>15</v>
      </c>
      <c r="F50" s="20">
        <f>IFERROR(TB_Saídas[[#This Row],[Quantidade Vendida]]*TB_Saídas[[#This Row],[Preço Unitário]],"Não foi possível calcular")</f>
        <v>450</v>
      </c>
    </row>
    <row r="51" spans="2:6" x14ac:dyDescent="0.25">
      <c r="B51" s="17">
        <v>44851</v>
      </c>
      <c r="C51" s="18" t="s">
        <v>25</v>
      </c>
      <c r="D51" s="11">
        <v>30</v>
      </c>
      <c r="E51" s="24" cm="1">
        <f t="array" ref="E51">_xlfn.XLOOKUP(TB_Saídas[[#This Row],[Produto]],TB_Produtos[[#All],[Produto]],TB_Produtos[[#All],[Preço Unitário]],"Produto não Encontrado",0,1)</f>
        <v>7.5</v>
      </c>
      <c r="F51" s="20">
        <f>IFERROR(TB_Saídas[[#This Row],[Quantidade Vendida]]*TB_Saídas[[#This Row],[Preço Unitário]],"Não foi possível calcular")</f>
        <v>225</v>
      </c>
    </row>
    <row r="52" spans="2:6" x14ac:dyDescent="0.25">
      <c r="B52" s="17">
        <v>44862</v>
      </c>
      <c r="C52" s="18" t="s">
        <v>10</v>
      </c>
      <c r="D52" s="11">
        <v>10</v>
      </c>
      <c r="E52" s="24" cm="1">
        <f t="array" ref="E52">_xlfn.XLOOKUP(TB_Saídas[[#This Row],[Produto]],TB_Produtos[[#All],[Produto]],TB_Produtos[[#All],[Preço Unitário]],"Produto não Encontrado",0,1)</f>
        <v>6.5</v>
      </c>
      <c r="F52" s="20">
        <f>IFERROR(TB_Saídas[[#This Row],[Quantidade Vendida]]*TB_Saídas[[#This Row],[Preço Unitário]],"Não foi possível calcular")</f>
        <v>65</v>
      </c>
    </row>
    <row r="53" spans="2:6" x14ac:dyDescent="0.25">
      <c r="B53" s="17">
        <v>44865</v>
      </c>
      <c r="C53" s="18" t="s">
        <v>26</v>
      </c>
      <c r="D53" s="11">
        <v>35</v>
      </c>
      <c r="E53" s="24" cm="1">
        <f t="array" ref="E53">_xlfn.XLOOKUP(TB_Saídas[[#This Row],[Produto]],TB_Produtos[[#All],[Produto]],TB_Produtos[[#All],[Preço Unitário]],"Produto não Encontrado",0,1)</f>
        <v>10</v>
      </c>
      <c r="F53" s="20">
        <f>IFERROR(TB_Saídas[[#This Row],[Quantidade Vendida]]*TB_Saídas[[#This Row],[Preço Unitário]],"Não foi possível calcular")</f>
        <v>350</v>
      </c>
    </row>
    <row r="54" spans="2:6" x14ac:dyDescent="0.25">
      <c r="B54" s="17">
        <v>44865</v>
      </c>
      <c r="C54" s="18" t="s">
        <v>6</v>
      </c>
      <c r="D54" s="11">
        <v>30</v>
      </c>
      <c r="E54" s="24" cm="1">
        <f t="array" ref="E54">_xlfn.XLOOKUP(TB_Saídas[[#This Row],[Produto]],TB_Produtos[[#All],[Produto]],TB_Produtos[[#All],[Preço Unitário]],"Produto não Encontrado",0,1)</f>
        <v>6</v>
      </c>
      <c r="F54" s="20">
        <f>IFERROR(TB_Saídas[[#This Row],[Quantidade Vendida]]*TB_Saídas[[#This Row],[Preço Unitário]],"Não foi possível calcular")</f>
        <v>180</v>
      </c>
    </row>
    <row r="55" spans="2:6" x14ac:dyDescent="0.25">
      <c r="B55" s="17">
        <v>44869</v>
      </c>
      <c r="C55" s="18" t="s">
        <v>10</v>
      </c>
      <c r="D55" s="11">
        <v>30</v>
      </c>
      <c r="E55" s="24" cm="1">
        <f t="array" ref="E55">_xlfn.XLOOKUP(TB_Saídas[[#This Row],[Produto]],TB_Produtos[[#All],[Produto]],TB_Produtos[[#All],[Preço Unitário]],"Produto não Encontrado",0,1)</f>
        <v>6.5</v>
      </c>
      <c r="F55" s="20">
        <f>IFERROR(TB_Saídas[[#This Row],[Quantidade Vendida]]*TB_Saídas[[#This Row],[Preço Unitário]],"Não foi possível calcular")</f>
        <v>195</v>
      </c>
    </row>
    <row r="56" spans="2:6" x14ac:dyDescent="0.25">
      <c r="B56" s="17">
        <v>44870</v>
      </c>
      <c r="C56" s="18" t="s">
        <v>25</v>
      </c>
      <c r="D56" s="11">
        <v>15</v>
      </c>
      <c r="E56" s="24" cm="1">
        <f t="array" ref="E56">_xlfn.XLOOKUP(TB_Saídas[[#This Row],[Produto]],TB_Produtos[[#All],[Produto]],TB_Produtos[[#All],[Preço Unitário]],"Produto não Encontrado",0,1)</f>
        <v>7.5</v>
      </c>
      <c r="F56" s="20">
        <f>IFERROR(TB_Saídas[[#This Row],[Quantidade Vendida]]*TB_Saídas[[#This Row],[Preço Unitário]],"Não foi possível calcular")</f>
        <v>112.5</v>
      </c>
    </row>
    <row r="57" spans="2:6" x14ac:dyDescent="0.25">
      <c r="B57" s="17">
        <v>44872</v>
      </c>
      <c r="C57" s="18" t="s">
        <v>6</v>
      </c>
      <c r="D57" s="11">
        <v>50</v>
      </c>
      <c r="E57" s="24" cm="1">
        <f t="array" ref="E57">_xlfn.XLOOKUP(TB_Saídas[[#This Row],[Produto]],TB_Produtos[[#All],[Produto]],TB_Produtos[[#All],[Preço Unitário]],"Produto não Encontrado",0,1)</f>
        <v>6</v>
      </c>
      <c r="F57" s="20">
        <f>IFERROR(TB_Saídas[[#This Row],[Quantidade Vendida]]*TB_Saídas[[#This Row],[Preço Unitário]],"Não foi possível calcular")</f>
        <v>300</v>
      </c>
    </row>
    <row r="58" spans="2:6" x14ac:dyDescent="0.25">
      <c r="B58" s="17">
        <v>44886</v>
      </c>
      <c r="C58" s="18" t="s">
        <v>19</v>
      </c>
      <c r="D58" s="11">
        <v>24</v>
      </c>
      <c r="E58" s="24" cm="1">
        <f t="array" ref="E58">_xlfn.XLOOKUP(TB_Saídas[[#This Row],[Produto]],TB_Produtos[[#All],[Produto]],TB_Produtos[[#All],[Preço Unitário]],"Produto não Encontrado",0,1)</f>
        <v>8.5</v>
      </c>
      <c r="F58" s="20">
        <f>IFERROR(TB_Saídas[[#This Row],[Quantidade Vendida]]*TB_Saídas[[#This Row],[Preço Unitário]],"Não foi possível calcular")</f>
        <v>204</v>
      </c>
    </row>
    <row r="59" spans="2:6" x14ac:dyDescent="0.25">
      <c r="B59" s="17">
        <v>44897</v>
      </c>
      <c r="C59" s="18" t="s">
        <v>25</v>
      </c>
      <c r="D59" s="11">
        <v>20</v>
      </c>
      <c r="E59" s="24" cm="1">
        <f t="array" ref="E59">_xlfn.XLOOKUP(TB_Saídas[[#This Row],[Produto]],TB_Produtos[[#All],[Produto]],TB_Produtos[[#All],[Preço Unitário]],"Produto não Encontrado",0,1)</f>
        <v>7.5</v>
      </c>
      <c r="F59" s="20">
        <f>IFERROR(TB_Saídas[[#This Row],[Quantidade Vendida]]*TB_Saídas[[#This Row],[Preço Unitário]],"Não foi possível calcular")</f>
        <v>150</v>
      </c>
    </row>
    <row r="60" spans="2:6" x14ac:dyDescent="0.25">
      <c r="B60" s="17">
        <v>44905</v>
      </c>
      <c r="C60" s="18" t="s">
        <v>26</v>
      </c>
      <c r="D60" s="11">
        <v>25</v>
      </c>
      <c r="E60" s="24" cm="1">
        <f t="array" ref="E60">_xlfn.XLOOKUP(TB_Saídas[[#This Row],[Produto]],TB_Produtos[[#All],[Produto]],TB_Produtos[[#All],[Preço Unitário]],"Produto não Encontrado",0,1)</f>
        <v>10</v>
      </c>
      <c r="F60" s="20">
        <f>IFERROR(TB_Saídas[[#This Row],[Quantidade Vendida]]*TB_Saídas[[#This Row],[Preço Unitário]],"Não foi possível calcular")</f>
        <v>250</v>
      </c>
    </row>
    <row r="61" spans="2:6" x14ac:dyDescent="0.25">
      <c r="B61" s="17">
        <v>44915</v>
      </c>
      <c r="C61" s="18" t="s">
        <v>6</v>
      </c>
      <c r="D61" s="11">
        <v>100</v>
      </c>
      <c r="E61" s="24" cm="1">
        <f t="array" ref="E61">_xlfn.XLOOKUP(TB_Saídas[[#This Row],[Produto]],TB_Produtos[[#All],[Produto]],TB_Produtos[[#All],[Preço Unitário]],"Produto não Encontrado",0,1)</f>
        <v>6</v>
      </c>
      <c r="F61" s="20">
        <f>IFERROR(TB_Saídas[[#This Row],[Quantidade Vendida]]*TB_Saídas[[#This Row],[Preço Unitário]],"Não foi possível calcular")</f>
        <v>600</v>
      </c>
    </row>
    <row r="62" spans="2:6" x14ac:dyDescent="0.25">
      <c r="B62" s="17">
        <v>44917</v>
      </c>
      <c r="C62" s="18" t="s">
        <v>19</v>
      </c>
      <c r="D62" s="11">
        <v>23</v>
      </c>
      <c r="E62" s="24" cm="1">
        <f t="array" ref="E62">_xlfn.XLOOKUP(TB_Saídas[[#This Row],[Produto]],TB_Produtos[[#All],[Produto]],TB_Produtos[[#All],[Preço Unitário]],"Produto não Encontrado",0,1)</f>
        <v>8.5</v>
      </c>
      <c r="F62" s="20">
        <f>IFERROR(TB_Saídas[[#This Row],[Quantidade Vendida]]*TB_Saídas[[#This Row],[Preço Unitário]],"Não foi possível calcular")</f>
        <v>195.5</v>
      </c>
    </row>
    <row r="63" spans="2:6" x14ac:dyDescent="0.25">
      <c r="B63" s="3"/>
    </row>
  </sheetData>
  <phoneticPr fontId="2" type="noConversion"/>
  <dataValidations count="1">
    <dataValidation type="list" allowBlank="1" showInputMessage="1" showErrorMessage="1" sqref="C6:C62" xr:uid="{C915EF8A-EC10-4320-A524-64111B80C901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Props1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Dinâmica</vt:lpstr>
      <vt:lpstr>Produtos</vt:lpstr>
      <vt:lpstr>Fornecedor</vt:lpstr>
      <vt:lpstr>Entradas</vt:lpstr>
      <vt:lpstr>Saídas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Thierry Lucas Chaves</cp:lastModifiedBy>
  <cp:revision/>
  <dcterms:created xsi:type="dcterms:W3CDTF">2022-11-17T13:49:56Z</dcterms:created>
  <dcterms:modified xsi:type="dcterms:W3CDTF">2026-06-13T16:39:08Z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