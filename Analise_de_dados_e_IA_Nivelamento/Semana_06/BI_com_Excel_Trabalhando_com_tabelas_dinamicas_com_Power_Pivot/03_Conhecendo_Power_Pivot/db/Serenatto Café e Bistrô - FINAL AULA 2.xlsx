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ierry-G15\Documents\Estudos\Alura\Santander-Imersao-Digital\Analise_de_dados_e_IA_Nivelamento\Semana_06\BI_com_Excel_Trabalhando_com_tabelas_dinamicas_com_Power_Pivot\03_Conhecendo_Power_Pivot\db\"/>
    </mc:Choice>
  </mc:AlternateContent>
  <xr:revisionPtr revIDLastSave="0" documentId="13_ncr:1_{5848AE0A-3A46-4DC6-BAB3-4C4B5D76BBCA}" xr6:coauthVersionLast="47" xr6:coauthVersionMax="47" xr10:uidLastSave="{00000000-0000-0000-0000-000000000000}"/>
  <bookViews>
    <workbookView xWindow="-28920" yWindow="-4080" windowWidth="29040" windowHeight="15720" tabRatio="781" xr2:uid="{87BE7180-3E81-4FE5-B433-FFDBA552102C}"/>
  </bookViews>
  <sheets>
    <sheet name="Produtos" sheetId="2" r:id="rId1"/>
    <sheet name="Fornecedor" sheetId="3" r:id="rId2"/>
    <sheet name="Entradas" sheetId="4" r:id="rId3"/>
    <sheet name="Saídas" sheetId="5" r:id="rId4"/>
  </sheets>
  <definedNames>
    <definedName name="Lista_Produtos">TB_Produtos[[#All],[Produto]]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4" l="1" a="1"/>
  <c r="G13" i="4" s="1"/>
  <c r="E60" i="5" a="1"/>
  <c r="F60" i="5" s="1"/>
  <c r="F18" i="4" a="1"/>
  <c r="G18" i="4" s="1"/>
  <c r="E59" i="5" a="1"/>
  <c r="F59" i="5" s="1"/>
  <c r="E56" i="5" a="1"/>
  <c r="F56" i="5" s="1"/>
  <c r="E51" i="5" a="1"/>
  <c r="F51" i="5" s="1"/>
  <c r="E47" i="5" a="1"/>
  <c r="F47" i="5" s="1"/>
  <c r="E37" i="5" a="1"/>
  <c r="F37" i="5" s="1"/>
  <c r="E31" i="5" a="1"/>
  <c r="F31" i="5" s="1"/>
  <c r="E22" i="5" a="1"/>
  <c r="F22" i="5" s="1"/>
  <c r="F56" i="4" a="1"/>
  <c r="G56" i="4" s="1"/>
  <c r="F50" i="4" a="1"/>
  <c r="G50" i="4" s="1"/>
  <c r="F46" i="4" a="1"/>
  <c r="G46" i="4" s="1"/>
  <c r="F32" i="4" a="1"/>
  <c r="G32" i="4" s="1"/>
  <c r="E15" i="5" a="1"/>
  <c r="F15" i="5" s="1"/>
  <c r="E8" i="5" a="1"/>
  <c r="F8" i="5" s="1"/>
  <c r="F9" i="4" a="1"/>
  <c r="G9" i="4" s="1"/>
  <c r="E49" i="5" a="1"/>
  <c r="F49" i="5" s="1"/>
  <c r="F49" i="4" a="1"/>
  <c r="G49" i="4" s="1"/>
  <c r="E45" i="5" a="1"/>
  <c r="F45" i="5" s="1"/>
  <c r="F44" i="4" a="1"/>
  <c r="G44" i="4" s="1"/>
  <c r="E39" i="5" a="1"/>
  <c r="F39" i="5" s="1"/>
  <c r="F38" i="4" a="1"/>
  <c r="G38" i="4" s="1"/>
  <c r="E36" i="5" a="1"/>
  <c r="F36" i="5" s="1"/>
  <c r="F36" i="4" a="1"/>
  <c r="G36" i="4" s="1"/>
  <c r="E27" i="5" a="1"/>
  <c r="F27" i="5" s="1"/>
  <c r="F29" i="4" a="1"/>
  <c r="G29" i="4" s="1"/>
  <c r="E23" i="5" a="1"/>
  <c r="F23" i="5" s="1"/>
  <c r="F23" i="4" a="1"/>
  <c r="G23" i="4" s="1"/>
  <c r="E16" i="5" a="1"/>
  <c r="F16" i="5" s="1"/>
  <c r="F19" i="4" a="1"/>
  <c r="G19" i="4" s="1"/>
  <c r="E12" i="5" a="1"/>
  <c r="F12" i="5" s="1"/>
  <c r="E9" i="5" a="1"/>
  <c r="F9" i="5" s="1"/>
  <c r="F8" i="4" a="1"/>
  <c r="G8" i="4" s="1"/>
  <c r="E52" i="5" a="1"/>
  <c r="F52" i="5" s="1"/>
  <c r="F52" i="4" a="1"/>
  <c r="G52" i="4" s="1"/>
  <c r="E48" i="5" a="1"/>
  <c r="F48" i="5" s="1"/>
  <c r="E38" i="5" a="1"/>
  <c r="F38" i="5" s="1"/>
  <c r="E35" i="5" a="1"/>
  <c r="F35" i="5" s="1"/>
  <c r="E32" i="5" a="1"/>
  <c r="F32" i="5" s="1"/>
  <c r="E28" i="5" a="1"/>
  <c r="F28" i="5" s="1"/>
  <c r="E17" i="5" a="1"/>
  <c r="F17" i="5" s="1"/>
  <c r="E13" i="5" a="1"/>
  <c r="F13" i="5" s="1"/>
  <c r="F57" i="4" a="1"/>
  <c r="G57" i="4" s="1"/>
  <c r="F47" i="4" a="1"/>
  <c r="G47" i="4" s="1"/>
  <c r="F41" i="4" a="1"/>
  <c r="G41" i="4" s="1"/>
  <c r="F37" i="4" a="1"/>
  <c r="G37" i="4" s="1"/>
  <c r="F33" i="4" a="1"/>
  <c r="G33" i="4" s="1"/>
  <c r="F24" i="4" a="1"/>
  <c r="G24" i="4" s="1"/>
  <c r="F20" i="4" a="1"/>
  <c r="G20" i="4" s="1"/>
  <c r="F14" i="4" a="1"/>
  <c r="G14" i="4" s="1"/>
  <c r="F26" i="4" a="1"/>
  <c r="G26" i="4" s="1"/>
  <c r="F54" i="4" a="1"/>
  <c r="G54" i="4" s="1"/>
  <c r="E30" i="5" l="1" a="1"/>
  <c r="F30" i="5" s="1"/>
  <c r="E62" i="5" a="1"/>
  <c r="F62" i="5" s="1"/>
  <c r="E42" i="5" a="1"/>
  <c r="F42" i="5" s="1"/>
  <c r="F59" i="4" a="1"/>
  <c r="G59" i="4" s="1"/>
  <c r="F58" i="4" a="1"/>
  <c r="G58" i="4" s="1"/>
  <c r="E6" i="5" l="1" a="1"/>
  <c r="E11" i="5" l="1" a="1"/>
  <c r="E7" i="5" a="1"/>
  <c r="E10" i="5" a="1"/>
  <c r="E14" i="5" a="1"/>
  <c r="E18" i="5" a="1"/>
  <c r="E19" i="5" a="1"/>
  <c r="E20" i="5" a="1"/>
  <c r="E21" i="5" a="1"/>
  <c r="E24" i="5" a="1"/>
  <c r="E25" i="5" a="1"/>
  <c r="E26" i="5" a="1"/>
  <c r="E29" i="5" a="1"/>
  <c r="E33" i="5" a="1"/>
  <c r="E34" i="5" a="1"/>
  <c r="E40" i="5" a="1"/>
  <c r="E41" i="5" a="1"/>
  <c r="E43" i="5" a="1"/>
  <c r="E44" i="5" a="1"/>
  <c r="E46" i="5" a="1"/>
  <c r="E50" i="5" a="1"/>
  <c r="E53" i="5" a="1"/>
  <c r="E54" i="5" a="1"/>
  <c r="E55" i="5" a="1"/>
  <c r="E57" i="5" a="1"/>
  <c r="E58" i="5" a="1"/>
  <c r="E61" i="5" a="1"/>
  <c r="F6" i="5" l="1"/>
  <c r="F7" i="5"/>
  <c r="F10" i="5"/>
  <c r="F11" i="5"/>
  <c r="F14" i="5"/>
  <c r="F18" i="5"/>
  <c r="F19" i="5"/>
  <c r="F20" i="5"/>
  <c r="F21" i="5"/>
  <c r="F24" i="5"/>
  <c r="F25" i="5"/>
  <c r="F26" i="5"/>
  <c r="F29" i="5"/>
  <c r="F33" i="5"/>
  <c r="F34" i="5"/>
  <c r="F40" i="5"/>
  <c r="F41" i="5"/>
  <c r="F43" i="5"/>
  <c r="F44" i="5"/>
  <c r="F46" i="5"/>
  <c r="F50" i="5"/>
  <c r="F53" i="5"/>
  <c r="F54" i="5"/>
  <c r="F55" i="5"/>
  <c r="F57" i="5"/>
  <c r="F58" i="5"/>
  <c r="F61" i="5"/>
  <c r="F6" i="4" a="1"/>
  <c r="G6" i="4" s="1"/>
  <c r="F7" i="4" a="1"/>
  <c r="G7" i="4" s="1"/>
  <c r="F10" i="4" a="1"/>
  <c r="G10" i="4" s="1"/>
  <c r="F11" i="4" a="1"/>
  <c r="G11" i="4" s="1"/>
  <c r="F12" i="4" a="1"/>
  <c r="G12" i="4" s="1"/>
  <c r="F15" i="4" a="1"/>
  <c r="G15" i="4" s="1"/>
  <c r="F16" i="4" a="1"/>
  <c r="G16" i="4" s="1"/>
  <c r="F17" i="4" a="1"/>
  <c r="G17" i="4" s="1"/>
  <c r="F21" i="4" a="1"/>
  <c r="G21" i="4" s="1"/>
  <c r="F22" i="4" a="1"/>
  <c r="G22" i="4" s="1"/>
  <c r="F25" i="4" a="1"/>
  <c r="G25" i="4" s="1"/>
  <c r="F27" i="4" a="1"/>
  <c r="G27" i="4" s="1"/>
  <c r="F28" i="4" a="1"/>
  <c r="G28" i="4" s="1"/>
  <c r="F30" i="4" a="1"/>
  <c r="G30" i="4" s="1"/>
  <c r="F31" i="4" a="1"/>
  <c r="G31" i="4" s="1"/>
  <c r="F34" i="4" a="1"/>
  <c r="G34" i="4" s="1"/>
  <c r="F35" i="4" a="1"/>
  <c r="G35" i="4" s="1"/>
  <c r="F39" i="4" a="1"/>
  <c r="G39" i="4" s="1"/>
  <c r="F40" i="4" a="1"/>
  <c r="G40" i="4" s="1"/>
  <c r="F42" i="4" a="1"/>
  <c r="G42" i="4" s="1"/>
  <c r="F43" i="4" a="1"/>
  <c r="G43" i="4" s="1"/>
  <c r="F45" i="4" a="1"/>
  <c r="G45" i="4" s="1"/>
  <c r="F48" i="4" a="1"/>
  <c r="G48" i="4" s="1"/>
  <c r="F51" i="4" a="1"/>
  <c r="G51" i="4" s="1"/>
  <c r="F53" i="4" a="1"/>
  <c r="G53" i="4" s="1"/>
  <c r="F55" i="4" a="1"/>
  <c r="G55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<sst xmlns="http://schemas.openxmlformats.org/spreadsheetml/2006/main" count="261" uniqueCount="69">
  <si>
    <t>Cadastro de Produtos</t>
  </si>
  <si>
    <t>Produto</t>
  </si>
  <si>
    <t>Unidade de Medida</t>
  </si>
  <si>
    <t>Estoque Mínimo</t>
  </si>
  <si>
    <t>Custo Unitário</t>
  </si>
  <si>
    <t>Preço Unitário</t>
  </si>
  <si>
    <t>Café</t>
  </si>
  <si>
    <t xml:space="preserve">Unidade </t>
  </si>
  <si>
    <t>Pão</t>
  </si>
  <si>
    <t>Kg</t>
  </si>
  <si>
    <t>Coxinha</t>
  </si>
  <si>
    <t>Esfiha</t>
  </si>
  <si>
    <t>Risoles</t>
  </si>
  <si>
    <t>Empada</t>
  </si>
  <si>
    <t>Quibe</t>
  </si>
  <si>
    <t>Chá</t>
  </si>
  <si>
    <t>Unidade</t>
  </si>
  <si>
    <t>Manteiga</t>
  </si>
  <si>
    <t>Requeijão</t>
  </si>
  <si>
    <t>Chocolate Quente</t>
  </si>
  <si>
    <t>Caixa</t>
  </si>
  <si>
    <t xml:space="preserve">Leite </t>
  </si>
  <si>
    <t>Açúcar</t>
  </si>
  <si>
    <t>Mini Pizza</t>
  </si>
  <si>
    <t>Chantilly</t>
  </si>
  <si>
    <t>Pão de Queijo</t>
  </si>
  <si>
    <t>Suco de Laranja</t>
  </si>
  <si>
    <t>Hamburguer</t>
  </si>
  <si>
    <t>Frango</t>
  </si>
  <si>
    <t xml:space="preserve">Água </t>
  </si>
  <si>
    <t>Embalagem</t>
  </si>
  <si>
    <t>Cerveja</t>
  </si>
  <si>
    <t>Queijo</t>
  </si>
  <si>
    <t>Presunto</t>
  </si>
  <si>
    <t>Mortadela</t>
  </si>
  <si>
    <t>Peito de Peru</t>
  </si>
  <si>
    <t>Refrigerante</t>
  </si>
  <si>
    <t>Enroladinho</t>
  </si>
  <si>
    <t>Cadastro de Fornecedor</t>
  </si>
  <si>
    <t>Empresa</t>
  </si>
  <si>
    <t>Telefone</t>
  </si>
  <si>
    <t>Responsável</t>
  </si>
  <si>
    <t>E-mail</t>
  </si>
  <si>
    <t>Mercado Express</t>
  </si>
  <si>
    <t>(11) 1122-4422</t>
  </si>
  <si>
    <t>Maria</t>
  </si>
  <si>
    <t>maria@mercadoexpress.com.br</t>
  </si>
  <si>
    <t>Frigorífico Z</t>
  </si>
  <si>
    <t>(11) 1001-2022</t>
  </si>
  <si>
    <t>Carlos</t>
  </si>
  <si>
    <t>carlos@frigoríficoz.com.br</t>
  </si>
  <si>
    <t>Distribuídora KS</t>
  </si>
  <si>
    <t>(11) 1300-4033</t>
  </si>
  <si>
    <t>Eduardo</t>
  </si>
  <si>
    <t>eduardo@distribuídoraks.com.br</t>
  </si>
  <si>
    <t xml:space="preserve"> </t>
  </si>
  <si>
    <t>Salgados Gran</t>
  </si>
  <si>
    <t>(11) 1400-3022</t>
  </si>
  <si>
    <t>Claudia</t>
  </si>
  <si>
    <t>claudia@salgadosgran.com.br</t>
  </si>
  <si>
    <t>Controle de Entradas</t>
  </si>
  <si>
    <t>Data</t>
  </si>
  <si>
    <t>Fornecedor</t>
  </si>
  <si>
    <t>Quantidade Comprada</t>
  </si>
  <si>
    <t>Valor da Compra</t>
  </si>
  <si>
    <t>Controle de Saídas</t>
  </si>
  <si>
    <t>Quantidade Vendida</t>
  </si>
  <si>
    <t>Valor de Venda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</si>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</sst>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Barlow"/>
    </font>
    <font>
      <b/>
      <sz val="24"/>
      <color theme="0"/>
      <name val="Barlow ExtraBold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2060"/>
      <name val="Barlow"/>
    </font>
  </fonts>
  <fills count="5">
    <fill>
      <patternFill patternType="none"/>
    </fill>
    <fill>
      <patternFill patternType="gray125"/>
    </fill>
    <fill>
      <patternFill patternType="solid">
        <fgColor rgb="FF313829"/>
        <bgColor indexed="64"/>
      </patternFill>
    </fill>
    <fill>
      <patternFill patternType="solid">
        <fgColor rgb="FFB39563"/>
        <bgColor indexed="64"/>
      </patternFill>
    </fill>
    <fill>
      <patternFill patternType="solid">
        <fgColor rgb="FF9B835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 wrapText="1"/>
    </xf>
    <xf numFmtId="164" fontId="0" fillId="0" borderId="0" xfId="0" applyNumberFormat="1"/>
    <xf numFmtId="0" fontId="0" fillId="2" borderId="0" xfId="0" applyFill="1"/>
    <xf numFmtId="44" fontId="0" fillId="2" borderId="0" xfId="1" applyFont="1" applyFill="1"/>
    <xf numFmtId="0" fontId="0" fillId="4" borderId="0" xfId="0" applyFill="1"/>
    <xf numFmtId="44" fontId="0" fillId="4" borderId="0" xfId="1" applyFont="1" applyFill="1"/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1" applyNumberFormat="1" applyFont="1" applyFill="1" applyBorder="1"/>
    <xf numFmtId="0" fontId="7" fillId="2" borderId="0" xfId="0" applyFont="1" applyFill="1" applyAlignment="1">
      <alignment vertical="center"/>
    </xf>
    <xf numFmtId="44" fontId="0" fillId="2" borderId="0" xfId="1" applyFont="1" applyFill="1" applyAlignment="1"/>
    <xf numFmtId="14" fontId="4" fillId="3" borderId="0" xfId="0" applyNumberFormat="1" applyFont="1" applyFill="1" applyAlignment="1">
      <alignment horizontal="center" vertical="center" wrapText="1"/>
    </xf>
    <xf numFmtId="14" fontId="8" fillId="3" borderId="0" xfId="0" applyNumberFormat="1" applyFont="1" applyFill="1" applyAlignment="1">
      <alignment horizontal="center" vertical="center" wrapText="1"/>
    </xf>
    <xf numFmtId="14" fontId="6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1" applyNumberFormat="1" applyFont="1" applyFill="1" applyBorder="1" applyAlignment="1">
      <alignment horizontal="center"/>
    </xf>
    <xf numFmtId="164" fontId="10" fillId="0" borderId="0" xfId="0" applyNumberFormat="1" applyFont="1"/>
    <xf numFmtId="14" fontId="6" fillId="0" borderId="0" xfId="0" applyNumberFormat="1" applyFont="1" applyAlignment="1">
      <alignment horizontal="right"/>
    </xf>
    <xf numFmtId="0" fontId="6" fillId="0" borderId="0" xfId="1" applyNumberFormat="1" applyFont="1" applyFill="1" applyAlignment="1">
      <alignment horizontal="center"/>
    </xf>
    <xf numFmtId="14" fontId="5" fillId="3" borderId="0" xfId="0" applyNumberFormat="1" applyFont="1" applyFill="1" applyAlignment="1">
      <alignment horizontal="center"/>
    </xf>
    <xf numFmtId="164" fontId="10" fillId="0" borderId="0" xfId="1" applyNumberFormat="1" applyFont="1"/>
    <xf numFmtId="0" fontId="5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6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4" fontId="5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Hyperlink" xfId="2" xr:uid="{00000000-000B-0000-0000-000008000000}"/>
    <cellStyle name="Moeda" xfId="1" builtinId="4"/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rgb="FF002060"/>
        <name val="Barlow"/>
        <scheme val="none"/>
      </font>
      <numFmt numFmtId="164" formatCode="_-[$R$-416]\ * #,##0.00_-;\-[$R$-416]\ * #,##0.00_-;_-[$R$-416]\ * &quot;-&quot;??_-;_-@_-"/>
    </dxf>
    <dxf>
      <font>
        <strike val="0"/>
        <outline val="0"/>
        <shadow val="0"/>
        <u val="none"/>
        <vertAlign val="baseline"/>
        <sz val="11"/>
        <color rgb="FF002060"/>
        <name val="Barlow"/>
        <scheme val="none"/>
      </font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9" formatCode="dd/mm/yyyy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Barl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rgb="FFB39563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Barlow"/>
        <scheme val="none"/>
      </font>
      <numFmt numFmtId="164" formatCode="_-[$R$-416]\ * #,##0.00_-;\-[$R$-416]\ * #,##0.00_-;_-[$R$-416]\ * &quot;-&quot;??_-;_-@_-"/>
    </dxf>
    <dxf>
      <font>
        <strike val="0"/>
        <outline val="0"/>
        <shadow val="0"/>
        <u val="none"/>
        <vertAlign val="baseline"/>
        <sz val="11"/>
        <color rgb="FF002060"/>
        <name val="Barlow"/>
        <scheme val="none"/>
      </font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Barl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B3956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rgb="FFB3956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rgb="FFB39563"/>
        </patternFill>
      </fill>
      <alignment horizontal="center" vertical="bottom" textRotation="0" wrapText="0" indent="0" justifyLastLine="0" shrinkToFit="0" readingOrder="0"/>
    </dxf>
    <dxf>
      <fill>
        <patternFill>
          <bgColor rgb="FF002060"/>
        </patternFill>
      </fill>
    </dxf>
  </dxfs>
  <tableStyles count="1" defaultTableStyle="TableStyleMedium2" defaultPivotStyle="PivotStyleLight16">
    <tableStyle name="Estilo de Tabela 1" pivot="0" count="1" xr9:uid="{7A5046BA-566E-471B-A33D-508741E9D76C}">
      <tableStyleElement type="wholeTable" dxfId="29"/>
    </tableStyle>
  </tableStyles>
  <colors>
    <mruColors>
      <color rgb="FFB39563"/>
      <color rgb="FF313829"/>
      <color rgb="FF1A261A"/>
      <color rgb="FF787674"/>
      <color rgb="FF373A3A"/>
      <color rgb="FF343C2C"/>
      <color rgb="FFEBC282"/>
      <color rgb="FFE7B667"/>
      <color rgb="FFA58C5F"/>
      <color rgb="FFB29D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360217</xdr:colOff>
      <xdr:row>0</xdr:row>
      <xdr:rowOff>96982</xdr:rowOff>
    </xdr:from>
    <xdr:to>
      <xdr:col>2</xdr:col>
      <xdr:colOff>1094510</xdr:colOff>
      <xdr:row>0</xdr:row>
      <xdr:rowOff>658092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18C730F-C230-2E70-3DF3-1C9A7D935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217" y="96982"/>
          <a:ext cx="2216729" cy="5611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360218</xdr:colOff>
      <xdr:row>0</xdr:row>
      <xdr:rowOff>76199</xdr:rowOff>
    </xdr:from>
    <xdr:to>
      <xdr:col>3</xdr:col>
      <xdr:colOff>269299</xdr:colOff>
      <xdr:row>0</xdr:row>
      <xdr:rowOff>637309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8CF01F9-FDFB-4D8C-9BB5-B0295C433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218" y="76199"/>
          <a:ext cx="2216729" cy="5611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76199</xdr:rowOff>
    </xdr:from>
    <xdr:to>
      <xdr:col>2</xdr:col>
      <xdr:colOff>1130186</xdr:colOff>
      <xdr:row>0</xdr:row>
      <xdr:rowOff>637309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8AF855A-3F4A-459E-BBF7-B2FA93773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313" y="76199"/>
          <a:ext cx="2216036" cy="5611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76199</xdr:rowOff>
    </xdr:from>
    <xdr:to>
      <xdr:col>2</xdr:col>
      <xdr:colOff>1138895</xdr:colOff>
      <xdr:row>0</xdr:row>
      <xdr:rowOff>637309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6FB358B-4560-43C5-BF07-D26A36FB5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693" y="76199"/>
          <a:ext cx="2216036" cy="56111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78AD2E-2996-4673-93A5-FBABBADBFCAD}" name="TB_Produtos" displayName="TB_Produtos" ref="B4:F31" totalsRowShown="0" headerRowDxfId="28" dataDxfId="27">
  <autoFilter ref="B4:F31" xr:uid="{BF78AD2E-2996-4673-93A5-FBABBADBFCAD}"/>
  <tableColumns count="5">
    <tableColumn id="1" xr3:uid="{377E90C8-0A45-4737-AC04-4C7CDB0AEAE2}" name="Produto" dataDxfId="26"/>
    <tableColumn id="2" xr3:uid="{4EB804C9-8A27-4783-BD36-FB9E656AE6E9}" name="Unidade de Medida" dataDxfId="25"/>
    <tableColumn id="3" xr3:uid="{A21D3E1F-EEC0-4E4A-BE5D-F1FC07B6F8D6}" name="Estoque Mínimo" dataDxfId="24"/>
    <tableColumn id="4" xr3:uid="{56ACBABD-1CFA-40E7-BC2B-DBA4120CD2CF}" name="Custo Unitário" dataDxfId="23" dataCellStyle="Moeda"/>
    <tableColumn id="5" xr3:uid="{96CD541B-A2C4-4577-95D7-DC8135FFC00B}" name="Preço Unitário" dataDxfId="22" dataCellStyle="Moeda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E8CB29-2D3F-4475-8076-85314FAA5C42}" name="TB_Fornecedor" displayName="TB_Fornecedor" ref="B5:F9" totalsRowShown="0" headerRowDxfId="21" dataDxfId="20">
  <autoFilter ref="B5:F9" xr:uid="{3FE8CB29-2D3F-4475-8076-85314FAA5C42}"/>
  <tableColumns count="5">
    <tableColumn id="5" xr3:uid="{3AF77D6B-4CB6-4D1D-90CA-F4F72A00C9CD}" name="Código" dataDxfId="0"/>
    <tableColumn id="1" xr3:uid="{5957F8AA-CE75-4BE8-A28F-E63751C6F321}" name="Empresa" dataDxfId="1"/>
    <tableColumn id="2" xr3:uid="{714E240A-6400-4353-BAFA-98056A75BEB8}" name="Telefone" dataDxfId="19"/>
    <tableColumn id="3" xr3:uid="{83F2A368-4F63-4459-A8E0-C24478833107}" name="Responsável" dataDxfId="18"/>
    <tableColumn id="4" xr3:uid="{B26AA4D1-77D3-4E4E-8E26-1DD67159E60C}" name="E-mail" dataDxfId="17" dataCellStyle="Moeda"/>
  </tableColumns>
  <tableStyleInfo name="TableStyleMedium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889516-6D39-4469-A223-4B0F7168EF79}" name="TB_Entradas" displayName="TB_Entradas" ref="B5:G59" totalsRowShown="0" headerRowDxfId="16" dataDxfId="15">
  <autoFilter ref="B5:G59" xr:uid="{96889516-6D39-4469-A223-4B0F7168EF79}"/>
  <tableColumns count="6">
    <tableColumn id="1" xr3:uid="{701AD28A-1CD8-44C9-BCEB-958AEB0E91DD}" name="Data" dataDxfId="14"/>
    <tableColumn id="2" xr3:uid="{F247CE0B-0EF4-4B75-A4B5-2205D8CF8B59}" name="Produto" dataDxfId="13"/>
    <tableColumn id="3" xr3:uid="{1A5D1499-6E9D-496F-95A9-F290D6FBA0EA}" name="Fornecedor" dataDxfId="12"/>
    <tableColumn id="4" xr3:uid="{8E9FF413-1C84-4664-AA13-4DDF2E3D7D9D}" name="Quantidade Comprada" dataDxfId="11" dataCellStyle="Moeda"/>
    <tableColumn id="5" xr3:uid="{A02F7FDA-CBAC-4B18-A2AB-0654AA440E5C}" name="Custo Unitário" dataDxfId="10">
      <calculatedColumnFormula array="1">_xlfn.XLOOKUP(TB_Entradas[[#This Row],[Produto]],TB_Produtos[[#All],[Produto]],TB_Produtos[[#All],[Custo Unitário]],"Produto não Encontrado",0,1)</calculatedColumnFormula>
    </tableColumn>
    <tableColumn id="6" xr3:uid="{C58A77A0-4427-4854-BE4E-4859DEF6E459}" name="Valor da Compra" dataDxfId="9">
      <calculatedColumnFormula>IFERROR(TB_Entradas[[#This Row],[Quantidade Comprada]]*TB_Entradas[[#This Row],[Custo Unitário]],"Erro ao calcular")</calculatedColumnFormula>
    </tableColumn>
  </tableColumns>
  <tableStyleInfo name="TableStyleMedium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6A585A-A0FE-42A4-967D-5B04DAD1156E}" name="TB_Saídas" displayName="TB_Saídas" ref="B5:F62" totalsRowShown="0" headerRowDxfId="8" dataDxfId="7">
  <autoFilter ref="B5:F62" xr:uid="{586A585A-A0FE-42A4-967D-5B04DAD1156E}"/>
  <tableColumns count="5">
    <tableColumn id="1" xr3:uid="{B4F598A6-4052-4062-950B-44B21BB57036}" name="Data" dataDxfId="6"/>
    <tableColumn id="2" xr3:uid="{370468ED-B740-49DE-AB89-5354284A2ABF}" name="Produto" dataDxfId="5"/>
    <tableColumn id="3" xr3:uid="{BE1ABBF0-3358-4840-B3C0-322DEDC290E1}" name="Quantidade Vendida" dataDxfId="4"/>
    <tableColumn id="4" xr3:uid="{561D4B7F-EDFE-4DF1-8FB5-D94F09D99A20}" name="Preço Unitário" dataDxfId="3" dataCellStyle="Moeda">
      <calculatedColumnFormula array="1">_xlfn.XLOOKUP(TB_Saídas[[#This Row],[Produto]],TB_Produtos[[#All],[Produto]],TB_Produtos[[#All],[Preço Unitário]],"Produto não Encontrado",0,1)</calculatedColumnFormula>
    </tableColumn>
    <tableColumn id="5" xr3:uid="{E2ABB07D-4494-43CF-A1D0-BB7188F908E0}" name="Valor de Venda" dataDxfId="2">
      <calculatedColumnFormula>IFERROR(TB_Saídas[[#This Row],[Quantidade Vendida]]*TB_Saídas[[#This Row],[Preço Unitário]],"Não foi possível calcular")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Serenatto Café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313829"/>
      </a:accent1>
      <a:accent2>
        <a:srgbClr val="1A261A"/>
      </a:accent2>
      <a:accent3>
        <a:srgbClr val="B39563"/>
      </a:accent3>
      <a:accent4>
        <a:srgbClr val="787674"/>
      </a:accent4>
      <a:accent5>
        <a:srgbClr val="C9B1AC"/>
      </a:accent5>
      <a:accent6>
        <a:srgbClr val="E8D7A4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eduardo@distribu&#237;doraks.com.br" TargetMode="External"/><Relationship Id="rId2" Type="http://schemas.openxmlformats.org/officeDocument/2006/relationships/hyperlink" Target="mailto:carlos@frigor&#237;ficoz.com.br" TargetMode="External"/><Relationship Id="rId1" Type="http://schemas.openxmlformats.org/officeDocument/2006/relationships/hyperlink" Target="mailto:maria@mercadoexpress.com.br" TargetMode="External"/><Relationship Id="rId6" Type="http://schemas.openxmlformats.org/officeDocument/2006/relationships/table" Target="../tables/table2.xml"/><Relationship Id="rId5" Type="http://schemas.openxmlformats.org/officeDocument/2006/relationships/drawing" Target="../drawings/drawing2.xml"/><Relationship Id="rId4" Type="http://schemas.openxmlformats.org/officeDocument/2006/relationships/hyperlink" Target="mailto:claudia@salgadosgran.com.b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CC56-36B7-4ACB-9B81-325E71099216}">
  <dimension ref="B1:I31"/>
  <sheetViews>
    <sheetView showGridLines="0" tabSelected="1" zoomScale="140" zoomScaleNormal="140" workbookViewId="0">
      <selection activeCell="E8" sqref="E8"/>
    </sheetView>
  </sheetViews>
  <sheetFormatPr defaultColWidth="9.140625" defaultRowHeight="15" x14ac:dyDescent="0.25"/>
  <cols>
    <col min="1" max="1" width="5.28515625" customWidth="1"/>
    <col min="2" max="2" width="16.28515625" bestFit="1" customWidth="1"/>
    <col min="3" max="3" width="22.5703125" bestFit="1" customWidth="1"/>
    <col min="4" max="4" width="19.7109375" bestFit="1" customWidth="1"/>
    <col min="5" max="5" width="18.42578125" customWidth="1"/>
    <col min="6" max="6" width="20.42578125" style="1" customWidth="1"/>
    <col min="8" max="8" width="13.5703125" customWidth="1"/>
    <col min="9" max="9" width="15.28515625" customWidth="1"/>
  </cols>
  <sheetData>
    <row r="1" spans="2:9" s="6" customFormat="1" ht="60" customHeight="1" x14ac:dyDescent="0.25">
      <c r="E1" s="13" t="s">
        <v>0</v>
      </c>
      <c r="F1" s="14"/>
    </row>
    <row r="2" spans="2:9" s="8" customFormat="1" ht="6" customHeight="1" x14ac:dyDescent="0.25">
      <c r="F2" s="9"/>
    </row>
    <row r="4" spans="2:9" x14ac:dyDescent="0.25"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</row>
    <row r="5" spans="2:9" ht="18" x14ac:dyDescent="0.35">
      <c r="B5" s="10" t="s">
        <v>6</v>
      </c>
      <c r="C5" s="11" t="s">
        <v>7</v>
      </c>
      <c r="D5" s="11">
        <v>50</v>
      </c>
      <c r="E5" s="12">
        <v>2</v>
      </c>
      <c r="F5" s="12">
        <v>6</v>
      </c>
      <c r="G5" s="3"/>
      <c r="H5" s="3"/>
    </row>
    <row r="6" spans="2:9" ht="18" x14ac:dyDescent="0.35">
      <c r="B6" s="10" t="s">
        <v>8</v>
      </c>
      <c r="C6" s="11" t="s">
        <v>9</v>
      </c>
      <c r="D6" s="11">
        <v>5</v>
      </c>
      <c r="E6" s="12">
        <v>1.5</v>
      </c>
      <c r="F6" s="12">
        <v>3</v>
      </c>
      <c r="H6" s="3"/>
    </row>
    <row r="7" spans="2:9" ht="18" x14ac:dyDescent="0.35">
      <c r="B7" s="10" t="s">
        <v>10</v>
      </c>
      <c r="C7" s="11" t="s">
        <v>9</v>
      </c>
      <c r="D7" s="11">
        <v>50</v>
      </c>
      <c r="E7" s="12">
        <v>0.5</v>
      </c>
      <c r="F7" s="12">
        <v>6.5</v>
      </c>
      <c r="H7" s="3"/>
    </row>
    <row r="8" spans="2:9" ht="18" x14ac:dyDescent="0.35">
      <c r="B8" s="10" t="s">
        <v>11</v>
      </c>
      <c r="C8" s="11" t="s">
        <v>9</v>
      </c>
      <c r="D8" s="11">
        <v>50</v>
      </c>
      <c r="E8" s="12">
        <v>1</v>
      </c>
      <c r="F8" s="12">
        <v>4.5</v>
      </c>
      <c r="H8" s="3"/>
    </row>
    <row r="9" spans="2:9" ht="18" x14ac:dyDescent="0.35">
      <c r="B9" s="10" t="s">
        <v>12</v>
      </c>
      <c r="C9" s="11" t="s">
        <v>9</v>
      </c>
      <c r="D9" s="11">
        <v>50</v>
      </c>
      <c r="E9" s="12">
        <v>1</v>
      </c>
      <c r="F9" s="12">
        <v>4</v>
      </c>
      <c r="H9" s="3"/>
      <c r="I9" s="5"/>
    </row>
    <row r="10" spans="2:9" ht="18" x14ac:dyDescent="0.35">
      <c r="B10" s="10" t="s">
        <v>13</v>
      </c>
      <c r="C10" s="11" t="s">
        <v>9</v>
      </c>
      <c r="D10" s="11">
        <v>50</v>
      </c>
      <c r="E10" s="12">
        <v>1</v>
      </c>
      <c r="F10" s="12">
        <v>4</v>
      </c>
    </row>
    <row r="11" spans="2:9" ht="18" x14ac:dyDescent="0.35">
      <c r="B11" s="10" t="s">
        <v>14</v>
      </c>
      <c r="C11" s="11" t="s">
        <v>9</v>
      </c>
      <c r="D11" s="11">
        <v>50</v>
      </c>
      <c r="E11" s="12">
        <v>0.5</v>
      </c>
      <c r="F11" s="12">
        <v>4</v>
      </c>
    </row>
    <row r="12" spans="2:9" ht="18" x14ac:dyDescent="0.35">
      <c r="B12" s="10" t="s">
        <v>15</v>
      </c>
      <c r="C12" s="11" t="s">
        <v>16</v>
      </c>
      <c r="D12" s="11">
        <v>15</v>
      </c>
      <c r="E12" s="12">
        <v>0.5</v>
      </c>
      <c r="F12" s="12">
        <v>2</v>
      </c>
    </row>
    <row r="13" spans="2:9" ht="18" x14ac:dyDescent="0.35">
      <c r="B13" s="10" t="s">
        <v>17</v>
      </c>
      <c r="C13" s="11" t="s">
        <v>16</v>
      </c>
      <c r="D13" s="11">
        <v>15</v>
      </c>
      <c r="E13" s="12">
        <v>0.25</v>
      </c>
      <c r="F13" s="12">
        <v>1</v>
      </c>
    </row>
    <row r="14" spans="2:9" ht="18" x14ac:dyDescent="0.35">
      <c r="B14" s="10" t="s">
        <v>18</v>
      </c>
      <c r="C14" s="11" t="s">
        <v>16</v>
      </c>
      <c r="D14" s="11">
        <v>15</v>
      </c>
      <c r="E14" s="12">
        <v>0.25</v>
      </c>
      <c r="F14" s="12">
        <v>1</v>
      </c>
    </row>
    <row r="15" spans="2:9" ht="18" x14ac:dyDescent="0.35">
      <c r="B15" s="10" t="s">
        <v>19</v>
      </c>
      <c r="C15" s="11" t="s">
        <v>20</v>
      </c>
      <c r="D15" s="11">
        <v>10</v>
      </c>
      <c r="E15" s="12">
        <v>0.25</v>
      </c>
      <c r="F15" s="12">
        <v>8.5</v>
      </c>
    </row>
    <row r="16" spans="2:9" ht="18" x14ac:dyDescent="0.35">
      <c r="B16" s="10" t="s">
        <v>21</v>
      </c>
      <c r="C16" s="11" t="s">
        <v>20</v>
      </c>
      <c r="D16" s="11">
        <v>12</v>
      </c>
      <c r="E16" s="12">
        <v>10</v>
      </c>
      <c r="F16" s="12">
        <v>5</v>
      </c>
    </row>
    <row r="17" spans="2:6" ht="18" x14ac:dyDescent="0.35">
      <c r="B17" s="10" t="s">
        <v>22</v>
      </c>
      <c r="C17" s="11" t="s">
        <v>9</v>
      </c>
      <c r="D17" s="11">
        <v>4</v>
      </c>
      <c r="E17" s="12">
        <v>2</v>
      </c>
      <c r="F17" s="12">
        <v>2</v>
      </c>
    </row>
    <row r="18" spans="2:6" ht="18" x14ac:dyDescent="0.35">
      <c r="B18" s="10" t="s">
        <v>23</v>
      </c>
      <c r="C18" s="11" t="s">
        <v>16</v>
      </c>
      <c r="D18" s="11">
        <v>10</v>
      </c>
      <c r="E18" s="12">
        <v>1</v>
      </c>
      <c r="F18" s="12">
        <v>5</v>
      </c>
    </row>
    <row r="19" spans="2:6" ht="18" x14ac:dyDescent="0.35">
      <c r="B19" s="10" t="s">
        <v>24</v>
      </c>
      <c r="C19" s="11" t="s">
        <v>16</v>
      </c>
      <c r="D19" s="11">
        <v>2</v>
      </c>
      <c r="E19" s="12">
        <v>0.75</v>
      </c>
      <c r="F19" s="12">
        <v>1.5</v>
      </c>
    </row>
    <row r="20" spans="2:6" ht="18" x14ac:dyDescent="0.35">
      <c r="B20" s="10" t="s">
        <v>25</v>
      </c>
      <c r="C20" s="11" t="s">
        <v>9</v>
      </c>
      <c r="D20" s="11">
        <v>10</v>
      </c>
      <c r="E20" s="12">
        <v>0.25</v>
      </c>
      <c r="F20" s="12">
        <v>7.5</v>
      </c>
    </row>
    <row r="21" spans="2:6" ht="18" x14ac:dyDescent="0.35">
      <c r="B21" s="10" t="s">
        <v>26</v>
      </c>
      <c r="C21" s="11" t="s">
        <v>16</v>
      </c>
      <c r="D21" s="11">
        <v>5</v>
      </c>
      <c r="E21" s="12">
        <v>0.75</v>
      </c>
      <c r="F21" s="12">
        <v>10</v>
      </c>
    </row>
    <row r="22" spans="2:6" ht="18" x14ac:dyDescent="0.35">
      <c r="B22" s="10" t="s">
        <v>27</v>
      </c>
      <c r="C22" s="11" t="s">
        <v>9</v>
      </c>
      <c r="D22" s="11">
        <v>2</v>
      </c>
      <c r="E22" s="12">
        <v>8</v>
      </c>
      <c r="F22" s="12">
        <v>15</v>
      </c>
    </row>
    <row r="23" spans="2:6" ht="18" x14ac:dyDescent="0.35">
      <c r="B23" s="10" t="s">
        <v>28</v>
      </c>
      <c r="C23" s="11" t="s">
        <v>9</v>
      </c>
      <c r="D23" s="11">
        <v>2</v>
      </c>
      <c r="E23" s="12">
        <v>4.5</v>
      </c>
      <c r="F23" s="12">
        <v>15</v>
      </c>
    </row>
    <row r="24" spans="2:6" ht="18" x14ac:dyDescent="0.35">
      <c r="B24" s="10" t="s">
        <v>29</v>
      </c>
      <c r="C24" s="11" t="s">
        <v>30</v>
      </c>
      <c r="D24" s="11">
        <v>5</v>
      </c>
      <c r="E24" s="12">
        <v>0.25</v>
      </c>
      <c r="F24" s="12">
        <v>2</v>
      </c>
    </row>
    <row r="25" spans="2:6" ht="18" x14ac:dyDescent="0.35">
      <c r="B25" s="10" t="s">
        <v>31</v>
      </c>
      <c r="C25" s="11" t="s">
        <v>30</v>
      </c>
      <c r="D25" s="11">
        <v>5</v>
      </c>
      <c r="E25" s="12">
        <v>0.75</v>
      </c>
      <c r="F25" s="12">
        <v>8</v>
      </c>
    </row>
    <row r="26" spans="2:6" ht="18" x14ac:dyDescent="0.35">
      <c r="B26" s="10" t="s">
        <v>32</v>
      </c>
      <c r="C26" s="11" t="s">
        <v>9</v>
      </c>
      <c r="D26" s="11">
        <v>2</v>
      </c>
      <c r="E26" s="12">
        <v>1</v>
      </c>
      <c r="F26" s="12">
        <v>3</v>
      </c>
    </row>
    <row r="27" spans="2:6" ht="18" x14ac:dyDescent="0.35">
      <c r="B27" s="10" t="s">
        <v>33</v>
      </c>
      <c r="C27" s="11" t="s">
        <v>9</v>
      </c>
      <c r="D27" s="11">
        <v>2</v>
      </c>
      <c r="E27" s="12">
        <v>2.5</v>
      </c>
      <c r="F27" s="12">
        <v>3.5</v>
      </c>
    </row>
    <row r="28" spans="2:6" ht="18" x14ac:dyDescent="0.35">
      <c r="B28" s="10" t="s">
        <v>34</v>
      </c>
      <c r="C28" s="11" t="s">
        <v>9</v>
      </c>
      <c r="D28" s="11">
        <v>2</v>
      </c>
      <c r="E28" s="12">
        <v>1.5</v>
      </c>
      <c r="F28" s="12">
        <v>3</v>
      </c>
    </row>
    <row r="29" spans="2:6" ht="18" x14ac:dyDescent="0.35">
      <c r="B29" s="10" t="s">
        <v>35</v>
      </c>
      <c r="C29" s="11" t="s">
        <v>9</v>
      </c>
      <c r="D29" s="11">
        <v>2</v>
      </c>
      <c r="E29" s="12">
        <v>3</v>
      </c>
      <c r="F29" s="12">
        <v>4.5</v>
      </c>
    </row>
    <row r="30" spans="2:6" ht="18" x14ac:dyDescent="0.35">
      <c r="B30" s="10" t="s">
        <v>36</v>
      </c>
      <c r="C30" s="11" t="s">
        <v>16</v>
      </c>
      <c r="D30" s="11">
        <v>10</v>
      </c>
      <c r="E30" s="12">
        <v>2</v>
      </c>
      <c r="F30" s="12">
        <v>8</v>
      </c>
    </row>
    <row r="31" spans="2:6" ht="18" x14ac:dyDescent="0.35">
      <c r="B31" s="10" t="s">
        <v>37</v>
      </c>
      <c r="C31" s="11" t="s">
        <v>9</v>
      </c>
      <c r="D31" s="11">
        <v>10</v>
      </c>
      <c r="E31" s="12">
        <v>0.25</v>
      </c>
      <c r="F31" s="12">
        <v>5</v>
      </c>
    </row>
  </sheetData>
  <dataValidations count="1">
    <dataValidation type="custom" allowBlank="1" showInputMessage="1" showErrorMessage="1" errorTitle="Produto Duplicado" error="Não é permitido cadastrar dois produtos com mesmo nome na base de dados!" sqref="B5:B31" xr:uid="{6FD65472-361F-4C37-92CC-80C66E375847}">
      <formula1>COUNTIF(Lista_Produtos,B5)&lt;=1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3A1B-7859-43EA-97D0-F19D9DFDF7BB}">
  <dimension ref="B1:I9"/>
  <sheetViews>
    <sheetView showGridLines="0" zoomScale="160" zoomScaleNormal="160" workbookViewId="0">
      <selection activeCell="E8" sqref="E8"/>
    </sheetView>
  </sheetViews>
  <sheetFormatPr defaultColWidth="9.140625" defaultRowHeight="15" x14ac:dyDescent="0.25"/>
  <cols>
    <col min="1" max="1" width="5.28515625" customWidth="1"/>
    <col min="2" max="2" width="11.7109375" style="31" bestFit="1" customWidth="1"/>
    <col min="3" max="3" width="16.85546875" bestFit="1" customWidth="1"/>
    <col min="4" max="4" width="14.28515625" bestFit="1" customWidth="1"/>
    <col min="5" max="5" width="31.85546875" customWidth="1"/>
  </cols>
  <sheetData>
    <row r="1" spans="2:9" s="6" customFormat="1" ht="60" customHeight="1" x14ac:dyDescent="0.25">
      <c r="B1" s="28"/>
      <c r="E1" s="13" t="s">
        <v>38</v>
      </c>
      <c r="F1" s="7"/>
    </row>
    <row r="2" spans="2:9" s="8" customFormat="1" ht="6" customHeight="1" x14ac:dyDescent="0.25">
      <c r="B2" s="29"/>
      <c r="F2" s="9"/>
    </row>
    <row r="5" spans="2:9" x14ac:dyDescent="0.25">
      <c r="B5" s="30" t="s">
        <v>68</v>
      </c>
      <c r="C5" s="23" t="s">
        <v>39</v>
      </c>
      <c r="D5" s="23" t="s">
        <v>40</v>
      </c>
      <c r="E5" s="23" t="s">
        <v>41</v>
      </c>
      <c r="F5" s="23" t="s">
        <v>42</v>
      </c>
    </row>
    <row r="6" spans="2:9" ht="18" x14ac:dyDescent="0.35">
      <c r="B6" s="27">
        <v>10</v>
      </c>
      <c r="C6" s="10" t="s">
        <v>43</v>
      </c>
      <c r="D6" s="11" t="s">
        <v>44</v>
      </c>
      <c r="E6" s="11" t="s">
        <v>45</v>
      </c>
      <c r="F6" s="12" t="s">
        <v>46</v>
      </c>
    </row>
    <row r="7" spans="2:9" ht="18" x14ac:dyDescent="0.35">
      <c r="B7" s="27">
        <v>20</v>
      </c>
      <c r="C7" s="10" t="s">
        <v>47</v>
      </c>
      <c r="D7" s="11" t="s">
        <v>48</v>
      </c>
      <c r="E7" s="11" t="s">
        <v>49</v>
      </c>
      <c r="F7" s="12" t="s">
        <v>50</v>
      </c>
    </row>
    <row r="8" spans="2:9" ht="18" x14ac:dyDescent="0.35">
      <c r="B8" s="27">
        <v>30</v>
      </c>
      <c r="C8" s="10" t="s">
        <v>51</v>
      </c>
      <c r="D8" s="11" t="s">
        <v>52</v>
      </c>
      <c r="E8" s="11" t="s">
        <v>53</v>
      </c>
      <c r="F8" s="12" t="s">
        <v>54</v>
      </c>
      <c r="I8" t="s">
        <v>55</v>
      </c>
    </row>
    <row r="9" spans="2:9" ht="18" x14ac:dyDescent="0.35">
      <c r="B9" s="27">
        <v>40</v>
      </c>
      <c r="C9" s="10" t="s">
        <v>56</v>
      </c>
      <c r="D9" s="11" t="s">
        <v>57</v>
      </c>
      <c r="E9" s="11" t="s">
        <v>58</v>
      </c>
      <c r="F9" s="12" t="s">
        <v>59</v>
      </c>
    </row>
  </sheetData>
  <dataValidations count="1">
    <dataValidation type="custom" allowBlank="1" showInputMessage="1" showErrorMessage="1" errorTitle="Fornecedor Duplicado" error="Não é permitido cadastrar dois fornecedores com mesmo nome!" sqref="B6:C9" xr:uid="{CB0A8FAC-1E94-4C7B-B66C-BC840809AA8D}">
      <formula1>COUNTIF(Lista_Fornecedores,B6)&lt;=1</formula1>
    </dataValidation>
  </dataValidations>
  <hyperlinks>
    <hyperlink ref="F6" r:id="rId1" display="mailto:maria@mercadoexpress.com.br" xr:uid="{BFA96C7E-CFA4-43C1-BA94-93E939CAF61B}"/>
    <hyperlink ref="F7" r:id="rId2" xr:uid="{B2F5BAB3-8645-48D1-8743-F6B02EAFE6F1}"/>
    <hyperlink ref="F8" r:id="rId3" display="mailto:eduardo@distribuídoraks.com.br" xr:uid="{1E6B527E-51F9-4124-9C35-5E328A13FBAD}"/>
    <hyperlink ref="F9" r:id="rId4" display="mailto:claudia@salgadosgran.com.br" xr:uid="{6C1289BE-A6BD-4250-839B-0A00703A4967}"/>
  </hyperlinks>
  <pageMargins left="0.511811024" right="0.511811024" top="0.78740157499999996" bottom="0.78740157499999996" header="0.31496062000000002" footer="0.31496062000000002"/>
  <drawing r:id="rId5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DA20-855E-4FED-9FAD-F203EB96D68D}">
  <dimension ref="B1:G60"/>
  <sheetViews>
    <sheetView showGridLines="0" zoomScale="140" zoomScaleNormal="140" workbookViewId="0">
      <selection activeCell="F5" sqref="F5"/>
    </sheetView>
  </sheetViews>
  <sheetFormatPr defaultColWidth="9.140625" defaultRowHeight="15" x14ac:dyDescent="0.25"/>
  <cols>
    <col min="1" max="1" width="5.28515625" customWidth="1"/>
    <col min="2" max="2" width="15.7109375" customWidth="1"/>
    <col min="3" max="3" width="17.140625" style="2" customWidth="1"/>
    <col min="4" max="4" width="18" style="2" customWidth="1"/>
    <col min="5" max="5" width="22.85546875" customWidth="1"/>
    <col min="6" max="6" width="22.28515625" style="2" customWidth="1"/>
    <col min="7" max="7" width="17.42578125" customWidth="1"/>
    <col min="8" max="8" width="18.42578125" customWidth="1"/>
  </cols>
  <sheetData>
    <row r="1" spans="2:7" s="6" customFormat="1" ht="60" customHeight="1" x14ac:dyDescent="0.25">
      <c r="E1" s="13" t="s">
        <v>60</v>
      </c>
      <c r="F1" s="7"/>
    </row>
    <row r="2" spans="2:7" s="8" customFormat="1" ht="6" customHeight="1" x14ac:dyDescent="0.25">
      <c r="F2" s="9"/>
    </row>
    <row r="4" spans="2:7" x14ac:dyDescent="0.25">
      <c r="C4"/>
    </row>
    <row r="5" spans="2:7" s="4" customFormat="1" x14ac:dyDescent="0.25">
      <c r="B5" s="25" t="s">
        <v>61</v>
      </c>
      <c r="C5" s="25" t="s">
        <v>1</v>
      </c>
      <c r="D5" s="25" t="s">
        <v>62</v>
      </c>
      <c r="E5" s="25" t="s">
        <v>63</v>
      </c>
      <c r="F5" s="26" t="s">
        <v>4</v>
      </c>
      <c r="G5" s="26" t="s">
        <v>64</v>
      </c>
    </row>
    <row r="6" spans="2:7" ht="18" x14ac:dyDescent="0.35">
      <c r="B6" s="21">
        <v>44566</v>
      </c>
      <c r="C6" s="18" t="s">
        <v>6</v>
      </c>
      <c r="D6" s="11" t="s">
        <v>43</v>
      </c>
      <c r="E6" s="19">
        <v>100</v>
      </c>
      <c r="F6" s="20" cm="1">
        <f t="array" ref="F6">_xlfn.XLOOKUP(TB_Entradas[[#This Row],[Produto]],TB_Produtos[[#All],[Produto]],TB_Produtos[[#All],[Custo Unitário]],"Produto não Encontrado",0,1)</f>
        <v>2</v>
      </c>
      <c r="G6" s="20">
        <f>IFERROR(TB_Entradas[[#This Row],[Quantidade Comprada]]*TB_Entradas[[#This Row],[Custo Unitário]],"Erro ao calcular")</f>
        <v>200</v>
      </c>
    </row>
    <row r="7" spans="2:7" ht="18" x14ac:dyDescent="0.35">
      <c r="B7" s="21">
        <v>44566</v>
      </c>
      <c r="C7" s="18" t="s">
        <v>10</v>
      </c>
      <c r="D7" s="11" t="s">
        <v>56</v>
      </c>
      <c r="E7" s="19">
        <v>100</v>
      </c>
      <c r="F7" s="20" cm="1">
        <f t="array" ref="F7">_xlfn.XLOOKUP(TB_Entradas[[#This Row],[Produto]],TB_Produtos[[#All],[Produto]],TB_Produtos[[#All],[Custo Unitário]],"Produto não Encontrado",0,1)</f>
        <v>0.5</v>
      </c>
      <c r="G7" s="20">
        <f>IFERROR(TB_Entradas[[#This Row],[Quantidade Comprada]]*TB_Entradas[[#This Row],[Custo Unitário]],"Erro ao calcular")</f>
        <v>50</v>
      </c>
    </row>
    <row r="8" spans="2:7" ht="18" x14ac:dyDescent="0.35">
      <c r="B8" s="21">
        <v>44576</v>
      </c>
      <c r="C8" s="18" t="s">
        <v>19</v>
      </c>
      <c r="D8" s="11" t="s">
        <v>43</v>
      </c>
      <c r="E8" s="19">
        <v>90</v>
      </c>
      <c r="F8" s="20" cm="1">
        <f t="array" ref="F8">_xlfn.XLOOKUP(TB_Entradas[[#This Row],[Produto]],TB_Produtos[[#All],[Produto]],TB_Produtos[[#All],[Custo Unitário]],"Produto não Encontrado",0,1)</f>
        <v>0.25</v>
      </c>
      <c r="G8" s="20">
        <f>IFERROR(TB_Entradas[[#This Row],[Quantidade Comprada]]*TB_Entradas[[#This Row],[Custo Unitário]],"Erro ao calcular")</f>
        <v>22.5</v>
      </c>
    </row>
    <row r="9" spans="2:7" ht="18" x14ac:dyDescent="0.35">
      <c r="B9" s="21">
        <v>44578</v>
      </c>
      <c r="C9" s="18" t="s">
        <v>25</v>
      </c>
      <c r="D9" s="11" t="s">
        <v>56</v>
      </c>
      <c r="E9" s="19">
        <v>100</v>
      </c>
      <c r="F9" s="20" cm="1">
        <f t="array" ref="F9">_xlfn.XLOOKUP(TB_Entradas[[#This Row],[Produto]],TB_Produtos[[#All],[Produto]],TB_Produtos[[#All],[Custo Unitário]],"Produto não Encontrado",0,1)</f>
        <v>0.25</v>
      </c>
      <c r="G9" s="20">
        <f>IFERROR(TB_Entradas[[#This Row],[Quantidade Comprada]]*TB_Entradas[[#This Row],[Custo Unitário]],"Erro ao calcular")</f>
        <v>25</v>
      </c>
    </row>
    <row r="10" spans="2:7" ht="18" x14ac:dyDescent="0.35">
      <c r="B10" s="21">
        <v>44593</v>
      </c>
      <c r="C10" s="18" t="s">
        <v>25</v>
      </c>
      <c r="D10" s="11" t="s">
        <v>56</v>
      </c>
      <c r="E10" s="19">
        <v>85</v>
      </c>
      <c r="F10" s="20" cm="1">
        <f t="array" ref="F10">_xlfn.XLOOKUP(TB_Entradas[[#This Row],[Produto]],TB_Produtos[[#All],[Produto]],TB_Produtos[[#All],[Custo Unitário]],"Produto não Encontrado",0,1)</f>
        <v>0.25</v>
      </c>
      <c r="G10" s="20">
        <f>IFERROR(TB_Entradas[[#This Row],[Quantidade Comprada]]*TB_Entradas[[#This Row],[Custo Unitário]],"Erro ao calcular")</f>
        <v>21.25</v>
      </c>
    </row>
    <row r="11" spans="2:7" ht="18" x14ac:dyDescent="0.35">
      <c r="B11" s="21">
        <v>44594</v>
      </c>
      <c r="C11" s="18" t="s">
        <v>19</v>
      </c>
      <c r="D11" s="11" t="s">
        <v>43</v>
      </c>
      <c r="E11" s="19">
        <v>80</v>
      </c>
      <c r="F11" s="20" cm="1">
        <f t="array" ref="F11">_xlfn.XLOOKUP(TB_Entradas[[#This Row],[Produto]],TB_Produtos[[#All],[Produto]],TB_Produtos[[#All],[Custo Unitário]],"Produto não Encontrado",0,1)</f>
        <v>0.25</v>
      </c>
      <c r="G11" s="20">
        <f>IFERROR(TB_Entradas[[#This Row],[Quantidade Comprada]]*TB_Entradas[[#This Row],[Custo Unitário]],"Erro ao calcular")</f>
        <v>20</v>
      </c>
    </row>
    <row r="12" spans="2:7" ht="18" x14ac:dyDescent="0.35">
      <c r="B12" s="21">
        <v>44598</v>
      </c>
      <c r="C12" s="18" t="s">
        <v>6</v>
      </c>
      <c r="D12" s="11" t="s">
        <v>43</v>
      </c>
      <c r="E12" s="19">
        <v>125</v>
      </c>
      <c r="F12" s="20" cm="1">
        <f t="array" ref="F12">_xlfn.XLOOKUP(TB_Entradas[[#This Row],[Produto]],TB_Produtos[[#All],[Produto]],TB_Produtos[[#All],[Custo Unitário]],"Produto não Encontrado",0,1)</f>
        <v>2</v>
      </c>
      <c r="G12" s="20">
        <f>IFERROR(TB_Entradas[[#This Row],[Quantidade Comprada]]*TB_Entradas[[#This Row],[Custo Unitário]],"Erro ao calcular")</f>
        <v>250</v>
      </c>
    </row>
    <row r="13" spans="2:7" ht="18" x14ac:dyDescent="0.35">
      <c r="B13" s="21">
        <v>44602</v>
      </c>
      <c r="C13" s="18" t="s">
        <v>31</v>
      </c>
      <c r="D13" s="11" t="s">
        <v>51</v>
      </c>
      <c r="E13" s="19">
        <v>50</v>
      </c>
      <c r="F13" s="20" cm="1">
        <f t="array" ref="F13">_xlfn.XLOOKUP(TB_Entradas[[#This Row],[Produto]],TB_Produtos[[#All],[Produto]],TB_Produtos[[#All],[Custo Unitário]],"Produto não Encontrado",0,1)</f>
        <v>0.75</v>
      </c>
      <c r="G13" s="20">
        <f>IFERROR(TB_Entradas[[#This Row],[Quantidade Comprada]]*TB_Entradas[[#This Row],[Custo Unitário]],"Erro ao calcular")</f>
        <v>37.5</v>
      </c>
    </row>
    <row r="14" spans="2:7" ht="18" x14ac:dyDescent="0.35">
      <c r="B14" s="21">
        <v>44612</v>
      </c>
      <c r="C14" s="18" t="s">
        <v>10</v>
      </c>
      <c r="D14" s="11" t="s">
        <v>56</v>
      </c>
      <c r="E14" s="19">
        <v>100</v>
      </c>
      <c r="F14" s="20" cm="1">
        <f t="array" ref="F14">_xlfn.XLOOKUP(TB_Entradas[[#This Row],[Produto]],TB_Produtos[[#All],[Produto]],TB_Produtos[[#All],[Custo Unitário]],"Produto não Encontrado",0,1)</f>
        <v>0.5</v>
      </c>
      <c r="G14" s="20">
        <f>IFERROR(TB_Entradas[[#This Row],[Quantidade Comprada]]*TB_Entradas[[#This Row],[Custo Unitário]],"Erro ao calcular")</f>
        <v>50</v>
      </c>
    </row>
    <row r="15" spans="2:7" ht="18" x14ac:dyDescent="0.35">
      <c r="B15" s="21">
        <v>44625</v>
      </c>
      <c r="C15" s="18" t="s">
        <v>36</v>
      </c>
      <c r="D15" s="11" t="s">
        <v>51</v>
      </c>
      <c r="E15" s="19">
        <v>250</v>
      </c>
      <c r="F15" s="20" cm="1">
        <f t="array" ref="F15">_xlfn.XLOOKUP(TB_Entradas[[#This Row],[Produto]],TB_Produtos[[#All],[Produto]],TB_Produtos[[#All],[Custo Unitário]],"Produto não Encontrado",0,1)</f>
        <v>2</v>
      </c>
      <c r="G15" s="20">
        <f>IFERROR(TB_Entradas[[#This Row],[Quantidade Comprada]]*TB_Entradas[[#This Row],[Custo Unitário]],"Erro ao calcular")</f>
        <v>500</v>
      </c>
    </row>
    <row r="16" spans="2:7" ht="18" x14ac:dyDescent="0.35">
      <c r="B16" s="21">
        <v>44630</v>
      </c>
      <c r="C16" s="18" t="s">
        <v>25</v>
      </c>
      <c r="D16" s="11" t="s">
        <v>56</v>
      </c>
      <c r="E16" s="19">
        <v>50</v>
      </c>
      <c r="F16" s="20" cm="1">
        <f t="array" ref="F16">_xlfn.XLOOKUP(TB_Entradas[[#This Row],[Produto]],TB_Produtos[[#All],[Produto]],TB_Produtos[[#All],[Custo Unitário]],"Produto não Encontrado",0,1)</f>
        <v>0.25</v>
      </c>
      <c r="G16" s="20">
        <f>IFERROR(TB_Entradas[[#This Row],[Quantidade Comprada]]*TB_Entradas[[#This Row],[Custo Unitário]],"Erro ao calcular")</f>
        <v>12.5</v>
      </c>
    </row>
    <row r="17" spans="2:7" ht="18" x14ac:dyDescent="0.35">
      <c r="B17" s="21">
        <v>44635</v>
      </c>
      <c r="C17" s="18" t="s">
        <v>6</v>
      </c>
      <c r="D17" s="11" t="s">
        <v>43</v>
      </c>
      <c r="E17" s="19">
        <v>150</v>
      </c>
      <c r="F17" s="20" cm="1">
        <f t="array" ref="F17">_xlfn.XLOOKUP(TB_Entradas[[#This Row],[Produto]],TB_Produtos[[#All],[Produto]],TB_Produtos[[#All],[Custo Unitário]],"Produto não Encontrado",0,1)</f>
        <v>2</v>
      </c>
      <c r="G17" s="20">
        <f>IFERROR(TB_Entradas[[#This Row],[Quantidade Comprada]]*TB_Entradas[[#This Row],[Custo Unitário]],"Erro ao calcular")</f>
        <v>300</v>
      </c>
    </row>
    <row r="18" spans="2:7" ht="18" x14ac:dyDescent="0.35">
      <c r="B18" s="21">
        <v>44637</v>
      </c>
      <c r="C18" s="18" t="s">
        <v>26</v>
      </c>
      <c r="D18" s="11" t="s">
        <v>43</v>
      </c>
      <c r="E18" s="19">
        <v>100</v>
      </c>
      <c r="F18" s="20" cm="1">
        <f t="array" ref="F18">_xlfn.XLOOKUP(TB_Entradas[[#This Row],[Produto]],TB_Produtos[[#All],[Produto]],TB_Produtos[[#All],[Custo Unitário]],"Produto não Encontrado",0,1)</f>
        <v>0.75</v>
      </c>
      <c r="G18" s="20">
        <f>IFERROR(TB_Entradas[[#This Row],[Quantidade Comprada]]*TB_Entradas[[#This Row],[Custo Unitário]],"Erro ao calcular")</f>
        <v>75</v>
      </c>
    </row>
    <row r="19" spans="2:7" ht="18" x14ac:dyDescent="0.35">
      <c r="B19" s="21">
        <v>44644</v>
      </c>
      <c r="C19" s="18" t="s">
        <v>19</v>
      </c>
      <c r="D19" s="11" t="s">
        <v>43</v>
      </c>
      <c r="E19" s="19">
        <v>40</v>
      </c>
      <c r="F19" s="20" cm="1">
        <f t="array" ref="F19">_xlfn.XLOOKUP(TB_Entradas[[#This Row],[Produto]],TB_Produtos[[#All],[Produto]],TB_Produtos[[#All],[Custo Unitário]],"Produto não Encontrado",0,1)</f>
        <v>0.25</v>
      </c>
      <c r="G19" s="20">
        <f>IFERROR(TB_Entradas[[#This Row],[Quantidade Comprada]]*TB_Entradas[[#This Row],[Custo Unitário]],"Erro ao calcular")</f>
        <v>10</v>
      </c>
    </row>
    <row r="20" spans="2:7" ht="18" x14ac:dyDescent="0.35">
      <c r="B20" s="21">
        <v>44647</v>
      </c>
      <c r="C20" s="18" t="s">
        <v>10</v>
      </c>
      <c r="D20" s="11" t="s">
        <v>56</v>
      </c>
      <c r="E20" s="19">
        <v>50</v>
      </c>
      <c r="F20" s="20" cm="1">
        <f t="array" ref="F20">_xlfn.XLOOKUP(TB_Entradas[[#This Row],[Produto]],TB_Produtos[[#All],[Produto]],TB_Produtos[[#All],[Custo Unitário]],"Produto não Encontrado",0,1)</f>
        <v>0.5</v>
      </c>
      <c r="G20" s="20">
        <f>IFERROR(TB_Entradas[[#This Row],[Quantidade Comprada]]*TB_Entradas[[#This Row],[Custo Unitário]],"Erro ao calcular")</f>
        <v>25</v>
      </c>
    </row>
    <row r="21" spans="2:7" ht="18" x14ac:dyDescent="0.35">
      <c r="B21" s="21">
        <v>44655</v>
      </c>
      <c r="C21" s="18" t="s">
        <v>25</v>
      </c>
      <c r="D21" s="11" t="s">
        <v>56</v>
      </c>
      <c r="E21" s="19">
        <v>90</v>
      </c>
      <c r="F21" s="20" cm="1">
        <f t="array" ref="F21">_xlfn.XLOOKUP(TB_Entradas[[#This Row],[Produto]],TB_Produtos[[#All],[Produto]],TB_Produtos[[#All],[Custo Unitário]],"Produto não Encontrado",0,1)</f>
        <v>0.25</v>
      </c>
      <c r="G21" s="20">
        <f>IFERROR(TB_Entradas[[#This Row],[Quantidade Comprada]]*TB_Entradas[[#This Row],[Custo Unitário]],"Erro ao calcular")</f>
        <v>22.5</v>
      </c>
    </row>
    <row r="22" spans="2:7" ht="18" x14ac:dyDescent="0.35">
      <c r="B22" s="21">
        <v>44661</v>
      </c>
      <c r="C22" s="18" t="s">
        <v>6</v>
      </c>
      <c r="D22" s="11" t="s">
        <v>43</v>
      </c>
      <c r="E22" s="19">
        <v>150</v>
      </c>
      <c r="F22" s="20" cm="1">
        <f t="array" ref="F22">_xlfn.XLOOKUP(TB_Entradas[[#This Row],[Produto]],TB_Produtos[[#All],[Produto]],TB_Produtos[[#All],[Custo Unitário]],"Produto não Encontrado",0,1)</f>
        <v>2</v>
      </c>
      <c r="G22" s="20">
        <f>IFERROR(TB_Entradas[[#This Row],[Quantidade Comprada]]*TB_Entradas[[#This Row],[Custo Unitário]],"Erro ao calcular")</f>
        <v>300</v>
      </c>
    </row>
    <row r="23" spans="2:7" ht="18" x14ac:dyDescent="0.35">
      <c r="B23" s="21">
        <v>44672</v>
      </c>
      <c r="C23" s="18" t="s">
        <v>19</v>
      </c>
      <c r="D23" s="11" t="s">
        <v>43</v>
      </c>
      <c r="E23" s="19">
        <v>60</v>
      </c>
      <c r="F23" s="20" cm="1">
        <f t="array" ref="F23">_xlfn.XLOOKUP(TB_Entradas[[#This Row],[Produto]],TB_Produtos[[#All],[Produto]],TB_Produtos[[#All],[Custo Unitário]],"Produto não Encontrado",0,1)</f>
        <v>0.25</v>
      </c>
      <c r="G23" s="20">
        <f>IFERROR(TB_Entradas[[#This Row],[Quantidade Comprada]]*TB_Entradas[[#This Row],[Custo Unitário]],"Erro ao calcular")</f>
        <v>15</v>
      </c>
    </row>
    <row r="24" spans="2:7" ht="18" x14ac:dyDescent="0.35">
      <c r="B24" s="21">
        <v>44681</v>
      </c>
      <c r="C24" s="18" t="s">
        <v>10</v>
      </c>
      <c r="D24" s="11" t="s">
        <v>56</v>
      </c>
      <c r="E24" s="19">
        <v>50</v>
      </c>
      <c r="F24" s="20" cm="1">
        <f t="array" ref="F24">_xlfn.XLOOKUP(TB_Entradas[[#This Row],[Produto]],TB_Produtos[[#All],[Produto]],TB_Produtos[[#All],[Custo Unitário]],"Produto não Encontrado",0,1)</f>
        <v>0.5</v>
      </c>
      <c r="G24" s="20">
        <f>IFERROR(TB_Entradas[[#This Row],[Quantidade Comprada]]*TB_Entradas[[#This Row],[Custo Unitário]],"Erro ao calcular")</f>
        <v>25</v>
      </c>
    </row>
    <row r="25" spans="2:7" ht="18" x14ac:dyDescent="0.35">
      <c r="B25" s="21">
        <v>44686</v>
      </c>
      <c r="C25" s="18" t="s">
        <v>27</v>
      </c>
      <c r="D25" s="11" t="s">
        <v>47</v>
      </c>
      <c r="E25" s="19">
        <v>60</v>
      </c>
      <c r="F25" s="20" cm="1">
        <f t="array" ref="F25">_xlfn.XLOOKUP(TB_Entradas[[#This Row],[Produto]],TB_Produtos[[#All],[Produto]],TB_Produtos[[#All],[Custo Unitário]],"Produto não Encontrado",0,1)</f>
        <v>8</v>
      </c>
      <c r="G25" s="20">
        <f>IFERROR(TB_Entradas[[#This Row],[Quantidade Comprada]]*TB_Entradas[[#This Row],[Custo Unitário]],"Erro ao calcular")</f>
        <v>480</v>
      </c>
    </row>
    <row r="26" spans="2:7" ht="18" x14ac:dyDescent="0.35">
      <c r="B26" s="21">
        <v>44687</v>
      </c>
      <c r="C26" s="18" t="s">
        <v>10</v>
      </c>
      <c r="D26" s="11" t="s">
        <v>56</v>
      </c>
      <c r="E26" s="19">
        <v>50</v>
      </c>
      <c r="F26" s="20" cm="1">
        <f t="array" ref="F26">_xlfn.XLOOKUP(TB_Entradas[[#This Row],[Produto]],TB_Produtos[[#All],[Produto]],TB_Produtos[[#All],[Custo Unitário]],"Produto não Encontrado",0,1)</f>
        <v>0.5</v>
      </c>
      <c r="G26" s="20">
        <f>IFERROR(TB_Entradas[[#This Row],[Quantidade Comprada]]*TB_Entradas[[#This Row],[Custo Unitário]],"Erro ao calcular")</f>
        <v>25</v>
      </c>
    </row>
    <row r="27" spans="2:7" ht="18" x14ac:dyDescent="0.35">
      <c r="B27" s="21">
        <v>44691</v>
      </c>
      <c r="C27" s="18" t="s">
        <v>25</v>
      </c>
      <c r="D27" s="11" t="s">
        <v>56</v>
      </c>
      <c r="E27" s="19">
        <v>30</v>
      </c>
      <c r="F27" s="20" cm="1">
        <f t="array" ref="F27">_xlfn.XLOOKUP(TB_Entradas[[#This Row],[Produto]],TB_Produtos[[#All],[Produto]],TB_Produtos[[#All],[Custo Unitário]],"Produto não Encontrado",0,1)</f>
        <v>0.25</v>
      </c>
      <c r="G27" s="20">
        <f>IFERROR(TB_Entradas[[#This Row],[Quantidade Comprada]]*TB_Entradas[[#This Row],[Custo Unitário]],"Erro ao calcular")</f>
        <v>7.5</v>
      </c>
    </row>
    <row r="28" spans="2:7" ht="18" x14ac:dyDescent="0.35">
      <c r="B28" s="21">
        <v>44691</v>
      </c>
      <c r="C28" s="18" t="s">
        <v>6</v>
      </c>
      <c r="D28" s="11" t="s">
        <v>43</v>
      </c>
      <c r="E28" s="19">
        <v>100</v>
      </c>
      <c r="F28" s="20" cm="1">
        <f t="array" ref="F28">_xlfn.XLOOKUP(TB_Entradas[[#This Row],[Produto]],TB_Produtos[[#All],[Produto]],TB_Produtos[[#All],[Custo Unitário]],"Produto não Encontrado",0,1)</f>
        <v>2</v>
      </c>
      <c r="G28" s="20">
        <f>IFERROR(TB_Entradas[[#This Row],[Quantidade Comprada]]*TB_Entradas[[#This Row],[Custo Unitário]],"Erro ao calcular")</f>
        <v>200</v>
      </c>
    </row>
    <row r="29" spans="2:7" ht="18" x14ac:dyDescent="0.35">
      <c r="B29" s="21">
        <v>44698</v>
      </c>
      <c r="C29" s="18" t="s">
        <v>19</v>
      </c>
      <c r="D29" s="11" t="s">
        <v>43</v>
      </c>
      <c r="E29" s="19">
        <v>45</v>
      </c>
      <c r="F29" s="20" cm="1">
        <f t="array" ref="F29">_xlfn.XLOOKUP(TB_Entradas[[#This Row],[Produto]],TB_Produtos[[#All],[Produto]],TB_Produtos[[#All],[Custo Unitário]],"Produto não Encontrado",0,1)</f>
        <v>0.25</v>
      </c>
      <c r="G29" s="20">
        <f>IFERROR(TB_Entradas[[#This Row],[Quantidade Comprada]]*TB_Entradas[[#This Row],[Custo Unitário]],"Erro ao calcular")</f>
        <v>11.25</v>
      </c>
    </row>
    <row r="30" spans="2:7" ht="18" x14ac:dyDescent="0.35">
      <c r="B30" s="21">
        <v>44714</v>
      </c>
      <c r="C30" s="18" t="s">
        <v>6</v>
      </c>
      <c r="D30" s="11" t="s">
        <v>43</v>
      </c>
      <c r="E30" s="19">
        <v>150</v>
      </c>
      <c r="F30" s="20" cm="1">
        <f t="array" ref="F30">_xlfn.XLOOKUP(TB_Entradas[[#This Row],[Produto]],TB_Produtos[[#All],[Produto]],TB_Produtos[[#All],[Custo Unitário]],"Produto não Encontrado",0,1)</f>
        <v>2</v>
      </c>
      <c r="G30" s="20">
        <f>IFERROR(TB_Entradas[[#This Row],[Quantidade Comprada]]*TB_Entradas[[#This Row],[Custo Unitário]],"Erro ao calcular")</f>
        <v>300</v>
      </c>
    </row>
    <row r="31" spans="2:7" ht="18" x14ac:dyDescent="0.35">
      <c r="B31" s="21">
        <v>44719</v>
      </c>
      <c r="C31" s="18" t="s">
        <v>19</v>
      </c>
      <c r="D31" s="11" t="s">
        <v>43</v>
      </c>
      <c r="E31" s="19">
        <v>115</v>
      </c>
      <c r="F31" s="20" cm="1">
        <f t="array" ref="F31">_xlfn.XLOOKUP(TB_Entradas[[#This Row],[Produto]],TB_Produtos[[#All],[Produto]],TB_Produtos[[#All],[Custo Unitário]],"Produto não Encontrado",0,1)</f>
        <v>0.25</v>
      </c>
      <c r="G31" s="20">
        <f>IFERROR(TB_Entradas[[#This Row],[Quantidade Comprada]]*TB_Entradas[[#This Row],[Custo Unitário]],"Erro ao calcular")</f>
        <v>28.75</v>
      </c>
    </row>
    <row r="32" spans="2:7" ht="18" x14ac:dyDescent="0.35">
      <c r="B32" s="21">
        <v>44727</v>
      </c>
      <c r="C32" s="18" t="s">
        <v>25</v>
      </c>
      <c r="D32" s="11" t="s">
        <v>56</v>
      </c>
      <c r="E32" s="19">
        <v>100</v>
      </c>
      <c r="F32" s="20" cm="1">
        <f t="array" ref="F32">_xlfn.XLOOKUP(TB_Entradas[[#This Row],[Produto]],TB_Produtos[[#All],[Produto]],TB_Produtos[[#All],[Custo Unitário]],"Produto não Encontrado",0,1)</f>
        <v>0.25</v>
      </c>
      <c r="G32" s="20">
        <f>IFERROR(TB_Entradas[[#This Row],[Quantidade Comprada]]*TB_Entradas[[#This Row],[Custo Unitário]],"Erro ao calcular")</f>
        <v>25</v>
      </c>
    </row>
    <row r="33" spans="2:7" ht="18" x14ac:dyDescent="0.35">
      <c r="B33" s="21">
        <v>44735</v>
      </c>
      <c r="C33" s="18" t="s">
        <v>10</v>
      </c>
      <c r="D33" s="11" t="s">
        <v>56</v>
      </c>
      <c r="E33" s="19">
        <v>45</v>
      </c>
      <c r="F33" s="20" cm="1">
        <f t="array" ref="F33">_xlfn.XLOOKUP(TB_Entradas[[#This Row],[Produto]],TB_Produtos[[#All],[Produto]],TB_Produtos[[#All],[Custo Unitário]],"Produto não Encontrado",0,1)</f>
        <v>0.5</v>
      </c>
      <c r="G33" s="20">
        <f>IFERROR(TB_Entradas[[#This Row],[Quantidade Comprada]]*TB_Entradas[[#This Row],[Custo Unitário]],"Erro ao calcular")</f>
        <v>22.5</v>
      </c>
    </row>
    <row r="34" spans="2:7" ht="18" x14ac:dyDescent="0.35">
      <c r="B34" s="21">
        <v>44743</v>
      </c>
      <c r="C34" s="18" t="s">
        <v>6</v>
      </c>
      <c r="D34" s="11" t="s">
        <v>43</v>
      </c>
      <c r="E34" s="19">
        <v>150</v>
      </c>
      <c r="F34" s="20" cm="1">
        <f t="array" ref="F34">_xlfn.XLOOKUP(TB_Entradas[[#This Row],[Produto]],TB_Produtos[[#All],[Produto]],TB_Produtos[[#All],[Custo Unitário]],"Produto não Encontrado",0,1)</f>
        <v>2</v>
      </c>
      <c r="G34" s="20">
        <f>IFERROR(TB_Entradas[[#This Row],[Quantidade Comprada]]*TB_Entradas[[#This Row],[Custo Unitário]],"Erro ao calcular")</f>
        <v>300</v>
      </c>
    </row>
    <row r="35" spans="2:7" ht="18" x14ac:dyDescent="0.35">
      <c r="B35" s="21">
        <v>44747</v>
      </c>
      <c r="C35" s="18" t="s">
        <v>25</v>
      </c>
      <c r="D35" s="11" t="s">
        <v>56</v>
      </c>
      <c r="E35" s="19">
        <v>60</v>
      </c>
      <c r="F35" s="20" cm="1">
        <f t="array" ref="F35">_xlfn.XLOOKUP(TB_Entradas[[#This Row],[Produto]],TB_Produtos[[#All],[Produto]],TB_Produtos[[#All],[Custo Unitário]],"Produto não Encontrado",0,1)</f>
        <v>0.25</v>
      </c>
      <c r="G35" s="20">
        <f>IFERROR(TB_Entradas[[#This Row],[Quantidade Comprada]]*TB_Entradas[[#This Row],[Custo Unitário]],"Erro ao calcular")</f>
        <v>15</v>
      </c>
    </row>
    <row r="36" spans="2:7" ht="18" x14ac:dyDescent="0.35">
      <c r="B36" s="21">
        <v>44749</v>
      </c>
      <c r="C36" s="18" t="s">
        <v>19</v>
      </c>
      <c r="D36" s="11" t="s">
        <v>43</v>
      </c>
      <c r="E36" s="19">
        <v>120</v>
      </c>
      <c r="F36" s="20" cm="1">
        <f t="array" ref="F36">_xlfn.XLOOKUP(TB_Entradas[[#This Row],[Produto]],TB_Produtos[[#All],[Produto]],TB_Produtos[[#All],[Custo Unitário]],"Produto não Encontrado",0,1)</f>
        <v>0.25</v>
      </c>
      <c r="G36" s="20">
        <f>IFERROR(TB_Entradas[[#This Row],[Quantidade Comprada]]*TB_Entradas[[#This Row],[Custo Unitário]],"Erro ao calcular")</f>
        <v>30</v>
      </c>
    </row>
    <row r="37" spans="2:7" ht="18" x14ac:dyDescent="0.35">
      <c r="B37" s="21">
        <v>44757</v>
      </c>
      <c r="C37" s="18" t="s">
        <v>10</v>
      </c>
      <c r="D37" s="11" t="s">
        <v>56</v>
      </c>
      <c r="E37" s="19">
        <v>20</v>
      </c>
      <c r="F37" s="20" cm="1">
        <f t="array" ref="F37">_xlfn.XLOOKUP(TB_Entradas[[#This Row],[Produto]],TB_Produtos[[#All],[Produto]],TB_Produtos[[#All],[Custo Unitário]],"Produto não Encontrado",0,1)</f>
        <v>0.5</v>
      </c>
      <c r="G37" s="20">
        <f>IFERROR(TB_Entradas[[#This Row],[Quantidade Comprada]]*TB_Entradas[[#This Row],[Custo Unitário]],"Erro ao calcular")</f>
        <v>10</v>
      </c>
    </row>
    <row r="38" spans="2:7" ht="18" x14ac:dyDescent="0.35">
      <c r="B38" s="21">
        <v>44778</v>
      </c>
      <c r="C38" s="18" t="s">
        <v>19</v>
      </c>
      <c r="D38" s="11" t="s">
        <v>43</v>
      </c>
      <c r="E38" s="19">
        <v>35</v>
      </c>
      <c r="F38" s="20" cm="1">
        <f t="array" ref="F38">_xlfn.XLOOKUP(TB_Entradas[[#This Row],[Produto]],TB_Produtos[[#All],[Produto]],TB_Produtos[[#All],[Custo Unitário]],"Produto não Encontrado",0,1)</f>
        <v>0.25</v>
      </c>
      <c r="G38" s="20">
        <f>IFERROR(TB_Entradas[[#This Row],[Quantidade Comprada]]*TB_Entradas[[#This Row],[Custo Unitário]],"Erro ao calcular")</f>
        <v>8.75</v>
      </c>
    </row>
    <row r="39" spans="2:7" ht="18" x14ac:dyDescent="0.35">
      <c r="B39" s="21">
        <v>44783</v>
      </c>
      <c r="C39" s="18" t="s">
        <v>23</v>
      </c>
      <c r="D39" s="11" t="s">
        <v>43</v>
      </c>
      <c r="E39" s="19">
        <v>100</v>
      </c>
      <c r="F39" s="20" cm="1">
        <f t="array" ref="F39">_xlfn.XLOOKUP(TB_Entradas[[#This Row],[Produto]],TB_Produtos[[#All],[Produto]],TB_Produtos[[#All],[Custo Unitário]],"Produto não Encontrado",0,1)</f>
        <v>1</v>
      </c>
      <c r="G39" s="20">
        <f>IFERROR(TB_Entradas[[#This Row],[Quantidade Comprada]]*TB_Entradas[[#This Row],[Custo Unitário]],"Erro ao calcular")</f>
        <v>100</v>
      </c>
    </row>
    <row r="40" spans="2:7" ht="18" x14ac:dyDescent="0.35">
      <c r="B40" s="21">
        <v>44791</v>
      </c>
      <c r="C40" s="18" t="s">
        <v>25</v>
      </c>
      <c r="D40" s="11" t="s">
        <v>56</v>
      </c>
      <c r="E40" s="19">
        <v>30</v>
      </c>
      <c r="F40" s="20" cm="1">
        <f t="array" ref="F40">_xlfn.XLOOKUP(TB_Entradas[[#This Row],[Produto]],TB_Produtos[[#All],[Produto]],TB_Produtos[[#All],[Custo Unitário]],"Produto não Encontrado",0,1)</f>
        <v>0.25</v>
      </c>
      <c r="G40" s="20">
        <f>IFERROR(TB_Entradas[[#This Row],[Quantidade Comprada]]*TB_Entradas[[#This Row],[Custo Unitário]],"Erro ao calcular")</f>
        <v>7.5</v>
      </c>
    </row>
    <row r="41" spans="2:7" ht="18" x14ac:dyDescent="0.35">
      <c r="B41" s="21">
        <v>44791</v>
      </c>
      <c r="C41" s="18" t="s">
        <v>10</v>
      </c>
      <c r="D41" s="11" t="s">
        <v>56</v>
      </c>
      <c r="E41" s="19">
        <v>30</v>
      </c>
      <c r="F41" s="20" cm="1">
        <f t="array" ref="F41">_xlfn.XLOOKUP(TB_Entradas[[#This Row],[Produto]],TB_Produtos[[#All],[Produto]],TB_Produtos[[#All],[Custo Unitário]],"Produto não Encontrado",0,1)</f>
        <v>0.5</v>
      </c>
      <c r="G41" s="20">
        <f>IFERROR(TB_Entradas[[#This Row],[Quantidade Comprada]]*TB_Entradas[[#This Row],[Custo Unitário]],"Erro ao calcular")</f>
        <v>15</v>
      </c>
    </row>
    <row r="42" spans="2:7" ht="18" x14ac:dyDescent="0.35">
      <c r="B42" s="21">
        <v>44804</v>
      </c>
      <c r="C42" s="18" t="s">
        <v>6</v>
      </c>
      <c r="D42" s="11" t="s">
        <v>43</v>
      </c>
      <c r="E42" s="19">
        <v>150</v>
      </c>
      <c r="F42" s="20" cm="1">
        <f t="array" ref="F42">_xlfn.XLOOKUP(TB_Entradas[[#This Row],[Produto]],TB_Produtos[[#All],[Produto]],TB_Produtos[[#All],[Custo Unitário]],"Produto não Encontrado",0,1)</f>
        <v>2</v>
      </c>
      <c r="G42" s="20">
        <f>IFERROR(TB_Entradas[[#This Row],[Quantidade Comprada]]*TB_Entradas[[#This Row],[Custo Unitário]],"Erro ao calcular")</f>
        <v>300</v>
      </c>
    </row>
    <row r="43" spans="2:7" ht="18" x14ac:dyDescent="0.35">
      <c r="B43" s="21">
        <v>44806</v>
      </c>
      <c r="C43" s="18" t="s">
        <v>36</v>
      </c>
      <c r="D43" s="11" t="s">
        <v>51</v>
      </c>
      <c r="E43" s="19">
        <v>100</v>
      </c>
      <c r="F43" s="20" cm="1">
        <f t="array" ref="F43">_xlfn.XLOOKUP(TB_Entradas[[#This Row],[Produto]],TB_Produtos[[#All],[Produto]],TB_Produtos[[#All],[Custo Unitário]],"Produto não Encontrado",0,1)</f>
        <v>2</v>
      </c>
      <c r="G43" s="20">
        <f>IFERROR(TB_Entradas[[#This Row],[Quantidade Comprada]]*TB_Entradas[[#This Row],[Custo Unitário]],"Erro ao calcular")</f>
        <v>200</v>
      </c>
    </row>
    <row r="44" spans="2:7" ht="18" x14ac:dyDescent="0.35">
      <c r="B44" s="21">
        <v>44811</v>
      </c>
      <c r="C44" s="18" t="s">
        <v>19</v>
      </c>
      <c r="D44" s="11" t="s">
        <v>43</v>
      </c>
      <c r="E44" s="19">
        <v>34</v>
      </c>
      <c r="F44" s="20" cm="1">
        <f t="array" ref="F44">_xlfn.XLOOKUP(TB_Entradas[[#This Row],[Produto]],TB_Produtos[[#All],[Produto]],TB_Produtos[[#All],[Custo Unitário]],"Produto não Encontrado",0,1)</f>
        <v>0.25</v>
      </c>
      <c r="G44" s="20">
        <f>IFERROR(TB_Entradas[[#This Row],[Quantidade Comprada]]*TB_Entradas[[#This Row],[Custo Unitário]],"Erro ao calcular")</f>
        <v>8.5</v>
      </c>
    </row>
    <row r="45" spans="2:7" ht="18" x14ac:dyDescent="0.35">
      <c r="B45" s="21">
        <v>44821</v>
      </c>
      <c r="C45" s="18" t="s">
        <v>28</v>
      </c>
      <c r="D45" s="11" t="s">
        <v>47</v>
      </c>
      <c r="E45" s="19">
        <v>50</v>
      </c>
      <c r="F45" s="20" cm="1">
        <f t="array" ref="F45">_xlfn.XLOOKUP(TB_Entradas[[#This Row],[Produto]],TB_Produtos[[#All],[Produto]],TB_Produtos[[#All],[Custo Unitário]],"Produto não Encontrado",0,1)</f>
        <v>4.5</v>
      </c>
      <c r="G45" s="20">
        <f>IFERROR(TB_Entradas[[#This Row],[Quantidade Comprada]]*TB_Entradas[[#This Row],[Custo Unitário]],"Erro ao calcular")</f>
        <v>225</v>
      </c>
    </row>
    <row r="46" spans="2:7" ht="18" x14ac:dyDescent="0.35">
      <c r="B46" s="21">
        <v>44823</v>
      </c>
      <c r="C46" s="18" t="s">
        <v>25</v>
      </c>
      <c r="D46" s="11" t="s">
        <v>56</v>
      </c>
      <c r="E46" s="19">
        <v>20</v>
      </c>
      <c r="F46" s="20" cm="1">
        <f t="array" ref="F46">_xlfn.XLOOKUP(TB_Entradas[[#This Row],[Produto]],TB_Produtos[[#All],[Produto]],TB_Produtos[[#All],[Custo Unitário]],"Produto não Encontrado",0,1)</f>
        <v>0.25</v>
      </c>
      <c r="G46" s="20">
        <f>IFERROR(TB_Entradas[[#This Row],[Quantidade Comprada]]*TB_Entradas[[#This Row],[Custo Unitário]],"Erro ao calcular")</f>
        <v>5</v>
      </c>
    </row>
    <row r="47" spans="2:7" ht="18" x14ac:dyDescent="0.35">
      <c r="B47" s="21">
        <v>44828</v>
      </c>
      <c r="C47" s="18" t="s">
        <v>10</v>
      </c>
      <c r="D47" s="11" t="s">
        <v>56</v>
      </c>
      <c r="E47" s="19">
        <v>15</v>
      </c>
      <c r="F47" s="20" cm="1">
        <f t="array" ref="F47">_xlfn.XLOOKUP(TB_Entradas[[#This Row],[Produto]],TB_Produtos[[#All],[Produto]],TB_Produtos[[#All],[Custo Unitário]],"Produto não Encontrado",0,1)</f>
        <v>0.5</v>
      </c>
      <c r="G47" s="20">
        <f>IFERROR(TB_Entradas[[#This Row],[Quantidade Comprada]]*TB_Entradas[[#This Row],[Custo Unitário]],"Erro ao calcular")</f>
        <v>7.5</v>
      </c>
    </row>
    <row r="48" spans="2:7" ht="18" x14ac:dyDescent="0.35">
      <c r="B48" s="21">
        <v>44834</v>
      </c>
      <c r="C48" s="18" t="s">
        <v>6</v>
      </c>
      <c r="D48" s="11" t="s">
        <v>43</v>
      </c>
      <c r="E48" s="19">
        <v>180</v>
      </c>
      <c r="F48" s="20" cm="1">
        <f t="array" ref="F48">_xlfn.XLOOKUP(TB_Entradas[[#This Row],[Produto]],TB_Produtos[[#All],[Produto]],TB_Produtos[[#All],[Custo Unitário]],"Produto não Encontrado",0,1)</f>
        <v>2</v>
      </c>
      <c r="G48" s="20">
        <f>IFERROR(TB_Entradas[[#This Row],[Quantidade Comprada]]*TB_Entradas[[#This Row],[Custo Unitário]],"Erro ao calcular")</f>
        <v>360</v>
      </c>
    </row>
    <row r="49" spans="2:7" ht="18" x14ac:dyDescent="0.35">
      <c r="B49" s="21">
        <v>44835</v>
      </c>
      <c r="C49" s="18" t="s">
        <v>19</v>
      </c>
      <c r="D49" s="11" t="s">
        <v>43</v>
      </c>
      <c r="E49" s="19">
        <v>46</v>
      </c>
      <c r="F49" s="20" cm="1">
        <f t="array" ref="F49">_xlfn.XLOOKUP(TB_Entradas[[#This Row],[Produto]],TB_Produtos[[#All],[Produto]],TB_Produtos[[#All],[Custo Unitário]],"Produto não Encontrado",0,1)</f>
        <v>0.25</v>
      </c>
      <c r="G49" s="20">
        <f>IFERROR(TB_Entradas[[#This Row],[Quantidade Comprada]]*TB_Entradas[[#This Row],[Custo Unitário]],"Erro ao calcular")</f>
        <v>11.5</v>
      </c>
    </row>
    <row r="50" spans="2:7" ht="18" x14ac:dyDescent="0.35">
      <c r="B50" s="21">
        <v>44841</v>
      </c>
      <c r="C50" s="18" t="s">
        <v>25</v>
      </c>
      <c r="D50" s="11" t="s">
        <v>56</v>
      </c>
      <c r="E50" s="19">
        <v>35</v>
      </c>
      <c r="F50" s="20" cm="1">
        <f t="array" ref="F50">_xlfn.XLOOKUP(TB_Entradas[[#This Row],[Produto]],TB_Produtos[[#All],[Produto]],TB_Produtos[[#All],[Custo Unitário]],"Produto não Encontrado",0,1)</f>
        <v>0.25</v>
      </c>
      <c r="G50" s="20">
        <f>IFERROR(TB_Entradas[[#This Row],[Quantidade Comprada]]*TB_Entradas[[#This Row],[Custo Unitário]],"Erro ao calcular")</f>
        <v>8.75</v>
      </c>
    </row>
    <row r="51" spans="2:7" ht="18" x14ac:dyDescent="0.35">
      <c r="B51" s="21">
        <v>44854</v>
      </c>
      <c r="C51" s="18" t="s">
        <v>6</v>
      </c>
      <c r="D51" s="11" t="s">
        <v>43</v>
      </c>
      <c r="E51" s="19">
        <v>100</v>
      </c>
      <c r="F51" s="20" cm="1">
        <f t="array" ref="F51">_xlfn.XLOOKUP(TB_Entradas[[#This Row],[Produto]],TB_Produtos[[#All],[Produto]],TB_Produtos[[#All],[Custo Unitário]],"Produto não Encontrado",0,1)</f>
        <v>2</v>
      </c>
      <c r="G51" s="20">
        <f>IFERROR(TB_Entradas[[#This Row],[Quantidade Comprada]]*TB_Entradas[[#This Row],[Custo Unitário]],"Erro ao calcular")</f>
        <v>200</v>
      </c>
    </row>
    <row r="52" spans="2:7" ht="18" x14ac:dyDescent="0.35">
      <c r="B52" s="21">
        <v>44859</v>
      </c>
      <c r="C52" s="18" t="s">
        <v>10</v>
      </c>
      <c r="D52" s="11" t="s">
        <v>56</v>
      </c>
      <c r="E52" s="19">
        <v>55</v>
      </c>
      <c r="F52" s="20" cm="1">
        <f t="array" ref="F52">_xlfn.XLOOKUP(TB_Entradas[[#This Row],[Produto]],TB_Produtos[[#All],[Produto]],TB_Produtos[[#All],[Custo Unitário]],"Produto não Encontrado",0,1)</f>
        <v>0.5</v>
      </c>
      <c r="G52" s="20">
        <f>IFERROR(TB_Entradas[[#This Row],[Quantidade Comprada]]*TB_Entradas[[#This Row],[Custo Unitário]],"Erro ao calcular")</f>
        <v>27.5</v>
      </c>
    </row>
    <row r="53" spans="2:7" ht="18" x14ac:dyDescent="0.35">
      <c r="B53" s="21">
        <v>44874</v>
      </c>
      <c r="C53" s="18" t="s">
        <v>29</v>
      </c>
      <c r="D53" s="11" t="s">
        <v>51</v>
      </c>
      <c r="E53" s="19">
        <v>100</v>
      </c>
      <c r="F53" s="20" cm="1">
        <f t="array" ref="F53">_xlfn.XLOOKUP(TB_Entradas[[#This Row],[Produto]],TB_Produtos[[#All],[Produto]],TB_Produtos[[#All],[Custo Unitário]],"Produto não Encontrado",0,1)</f>
        <v>0.25</v>
      </c>
      <c r="G53" s="20">
        <f>IFERROR(TB_Entradas[[#This Row],[Quantidade Comprada]]*TB_Entradas[[#This Row],[Custo Unitário]],"Erro ao calcular")</f>
        <v>25</v>
      </c>
    </row>
    <row r="54" spans="2:7" ht="18" x14ac:dyDescent="0.35">
      <c r="B54" s="21">
        <v>44880</v>
      </c>
      <c r="C54" s="18" t="s">
        <v>6</v>
      </c>
      <c r="D54" s="11" t="s">
        <v>43</v>
      </c>
      <c r="E54" s="19">
        <v>80</v>
      </c>
      <c r="F54" s="20" cm="1">
        <f t="array" ref="F54">_xlfn.XLOOKUP(TB_Entradas[[#This Row],[Produto]],TB_Produtos[[#All],[Produto]],TB_Produtos[[#All],[Custo Unitário]],"Produto não Encontrado",0,1)</f>
        <v>2</v>
      </c>
      <c r="G54" s="20">
        <f>IFERROR(TB_Entradas[[#This Row],[Quantidade Comprada]]*TB_Entradas[[#This Row],[Custo Unitário]],"Erro ao calcular")</f>
        <v>160</v>
      </c>
    </row>
    <row r="55" spans="2:7" ht="18" x14ac:dyDescent="0.35">
      <c r="B55" s="21">
        <v>44883</v>
      </c>
      <c r="C55" s="18" t="s">
        <v>19</v>
      </c>
      <c r="D55" s="11" t="s">
        <v>43</v>
      </c>
      <c r="E55" s="19">
        <v>45</v>
      </c>
      <c r="F55" s="20" cm="1">
        <f t="array" ref="F55">_xlfn.XLOOKUP(TB_Entradas[[#This Row],[Produto]],TB_Produtos[[#All],[Produto]],TB_Produtos[[#All],[Custo Unitário]],"Produto não Encontrado",0,1)</f>
        <v>0.25</v>
      </c>
      <c r="G55" s="20">
        <f>IFERROR(TB_Entradas[[#This Row],[Quantidade Comprada]]*TB_Entradas[[#This Row],[Custo Unitário]],"Erro ao calcular")</f>
        <v>11.25</v>
      </c>
    </row>
    <row r="56" spans="2:7" ht="18" x14ac:dyDescent="0.35">
      <c r="B56" s="21">
        <v>44888</v>
      </c>
      <c r="C56" s="18" t="s">
        <v>25</v>
      </c>
      <c r="D56" s="11" t="s">
        <v>56</v>
      </c>
      <c r="E56" s="19">
        <v>20</v>
      </c>
      <c r="F56" s="20" cm="1">
        <f t="array" ref="F56">_xlfn.XLOOKUP(TB_Entradas[[#This Row],[Produto]],TB_Produtos[[#All],[Produto]],TB_Produtos[[#All],[Custo Unitário]],"Produto não Encontrado",0,1)</f>
        <v>0.25</v>
      </c>
      <c r="G56" s="20">
        <f>IFERROR(TB_Entradas[[#This Row],[Quantidade Comprada]]*TB_Entradas[[#This Row],[Custo Unitário]],"Erro ao calcular")</f>
        <v>5</v>
      </c>
    </row>
    <row r="57" spans="2:7" ht="18" x14ac:dyDescent="0.35">
      <c r="B57" s="21">
        <v>44895</v>
      </c>
      <c r="C57" s="18" t="s">
        <v>10</v>
      </c>
      <c r="D57" s="11" t="s">
        <v>56</v>
      </c>
      <c r="E57" s="19">
        <v>35</v>
      </c>
      <c r="F57" s="20" cm="1">
        <f t="array" ref="F57">_xlfn.XLOOKUP(TB_Entradas[[#This Row],[Produto]],TB_Produtos[[#All],[Produto]],TB_Produtos[[#All],[Custo Unitário]],"Produto não Encontrado",0,1)</f>
        <v>0.5</v>
      </c>
      <c r="G57" s="20">
        <f>IFERROR(TB_Entradas[[#This Row],[Quantidade Comprada]]*TB_Entradas[[#This Row],[Custo Unitário]],"Erro ao calcular")</f>
        <v>17.5</v>
      </c>
    </row>
    <row r="58" spans="2:7" ht="18" x14ac:dyDescent="0.35">
      <c r="B58" s="21">
        <v>44907</v>
      </c>
      <c r="C58" s="18" t="s">
        <v>6</v>
      </c>
      <c r="D58" s="11" t="s">
        <v>43</v>
      </c>
      <c r="E58" s="22">
        <v>200</v>
      </c>
      <c r="F58" s="20" cm="1">
        <f t="array" ref="F58">_xlfn.XLOOKUP(TB_Entradas[[#This Row],[Produto]],TB_Produtos[[#All],[Produto]],TB_Produtos[[#All],[Custo Unitário]],"Produto não Encontrado",0,1)</f>
        <v>2</v>
      </c>
      <c r="G58" s="20">
        <f>IFERROR(TB_Entradas[[#This Row],[Quantidade Comprada]]*TB_Entradas[[#This Row],[Custo Unitário]],"Erro ao calcular")</f>
        <v>400</v>
      </c>
    </row>
    <row r="59" spans="2:7" ht="18" x14ac:dyDescent="0.35">
      <c r="B59" s="21">
        <v>44910</v>
      </c>
      <c r="C59" s="18" t="s">
        <v>19</v>
      </c>
      <c r="D59" s="11" t="s">
        <v>43</v>
      </c>
      <c r="E59" s="22">
        <v>40</v>
      </c>
      <c r="F59" s="20" cm="1">
        <f t="array" ref="F59">_xlfn.XLOOKUP(TB_Entradas[[#This Row],[Produto]],TB_Produtos[[#All],[Produto]],TB_Produtos[[#All],[Custo Unitário]],"Produto não Encontrado",0,1)</f>
        <v>0.25</v>
      </c>
      <c r="G59" s="20">
        <f>IFERROR(TB_Entradas[[#This Row],[Quantidade Comprada]]*TB_Entradas[[#This Row],[Custo Unitário]],"Erro ao calcular")</f>
        <v>10</v>
      </c>
    </row>
    <row r="60" spans="2:7" x14ac:dyDescent="0.25">
      <c r="B60" s="3"/>
    </row>
  </sheetData>
  <dataValidations count="1">
    <dataValidation type="list" allowBlank="1" showInputMessage="1" showErrorMessage="1" sqref="C6:C59" xr:uid="{30B5F2FC-77F0-434A-8A4F-A5BAEF973762}">
      <formula1>Lista_Produtos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E41A-892F-4677-8FC0-DD6D99AB3FB4}">
  <dimension ref="B1:F63"/>
  <sheetViews>
    <sheetView showGridLines="0" zoomScale="130" zoomScaleNormal="130" workbookViewId="0">
      <selection activeCell="E11" sqref="E11"/>
    </sheetView>
  </sheetViews>
  <sheetFormatPr defaultColWidth="9.140625" defaultRowHeight="15" x14ac:dyDescent="0.25"/>
  <cols>
    <col min="1" max="1" width="5.28515625" customWidth="1"/>
    <col min="2" max="2" width="15.28515625" customWidth="1"/>
    <col min="3" max="3" width="20.85546875" customWidth="1"/>
    <col min="4" max="4" width="23.28515625" customWidth="1"/>
    <col min="5" max="5" width="17.28515625" customWidth="1"/>
    <col min="6" max="6" width="17.5703125" customWidth="1"/>
  </cols>
  <sheetData>
    <row r="1" spans="2:6" s="6" customFormat="1" ht="60" customHeight="1" x14ac:dyDescent="0.25">
      <c r="D1" s="13" t="s">
        <v>65</v>
      </c>
      <c r="E1" s="7"/>
    </row>
    <row r="2" spans="2:6" s="8" customFormat="1" ht="6" customHeight="1" x14ac:dyDescent="0.25">
      <c r="E2" s="9"/>
    </row>
    <row r="5" spans="2:6" x14ac:dyDescent="0.25">
      <c r="B5" s="15" t="s">
        <v>61</v>
      </c>
      <c r="C5" s="15" t="s">
        <v>1</v>
      </c>
      <c r="D5" s="15" t="s">
        <v>66</v>
      </c>
      <c r="E5" s="16" t="s">
        <v>5</v>
      </c>
      <c r="F5" s="16" t="s">
        <v>67</v>
      </c>
    </row>
    <row r="6" spans="2:6" ht="18" x14ac:dyDescent="0.35">
      <c r="B6" s="17">
        <v>44566</v>
      </c>
      <c r="C6" s="18" t="s">
        <v>10</v>
      </c>
      <c r="D6" s="11">
        <v>30</v>
      </c>
      <c r="E6" s="24" cm="1">
        <f t="array" ref="E6">_xlfn.XLOOKUP(TB_Saídas[[#This Row],[Produto]],TB_Produtos[[#All],[Produto]],TB_Produtos[[#All],[Preço Unitário]],"Produto não Encontrado",0,1)</f>
        <v>6.5</v>
      </c>
      <c r="F6" s="20">
        <f>IFERROR(TB_Saídas[[#This Row],[Quantidade Vendida]]*TB_Saídas[[#This Row],[Preço Unitário]],"Não foi possível calcular")</f>
        <v>195</v>
      </c>
    </row>
    <row r="7" spans="2:6" ht="18" x14ac:dyDescent="0.35">
      <c r="B7" s="17">
        <v>44567</v>
      </c>
      <c r="C7" s="18" t="s">
        <v>6</v>
      </c>
      <c r="D7" s="11">
        <v>80</v>
      </c>
      <c r="E7" s="24" cm="1">
        <f t="array" ref="E7">_xlfn.XLOOKUP(TB_Saídas[[#This Row],[Produto]],TB_Produtos[[#All],[Produto]],TB_Produtos[[#All],[Preço Unitário]],"Produto não Encontrado",0,1)</f>
        <v>6</v>
      </c>
      <c r="F7" s="20">
        <f>IFERROR(TB_Saídas[[#This Row],[Quantidade Vendida]]*TB_Saídas[[#This Row],[Preço Unitário]],"Não foi possível calcular")</f>
        <v>480</v>
      </c>
    </row>
    <row r="8" spans="2:6" ht="18" x14ac:dyDescent="0.35">
      <c r="B8" s="17">
        <v>44581</v>
      </c>
      <c r="C8" s="18" t="s">
        <v>25</v>
      </c>
      <c r="D8" s="11">
        <v>50</v>
      </c>
      <c r="E8" s="24" cm="1">
        <f t="array" ref="E8">_xlfn.XLOOKUP(TB_Saídas[[#This Row],[Produto]],TB_Produtos[[#All],[Produto]],TB_Produtos[[#All],[Preço Unitário]],"Produto não Encontrado",0,1)</f>
        <v>7.5</v>
      </c>
      <c r="F8" s="20">
        <f>IFERROR(TB_Saídas[[#This Row],[Quantidade Vendida]]*TB_Saídas[[#This Row],[Preço Unitário]],"Não foi possível calcular")</f>
        <v>375</v>
      </c>
    </row>
    <row r="9" spans="2:6" ht="18" x14ac:dyDescent="0.35">
      <c r="B9" s="17">
        <v>44586</v>
      </c>
      <c r="C9" s="18" t="s">
        <v>19</v>
      </c>
      <c r="D9" s="11">
        <v>50</v>
      </c>
      <c r="E9" s="24" cm="1">
        <f t="array" ref="E9">_xlfn.XLOOKUP(TB_Saídas[[#This Row],[Produto]],TB_Produtos[[#All],[Produto]],TB_Produtos[[#All],[Preço Unitário]],"Produto não Encontrado",0,1)</f>
        <v>8.5</v>
      </c>
      <c r="F9" s="20">
        <f>IFERROR(TB_Saídas[[#This Row],[Quantidade Vendida]]*TB_Saídas[[#This Row],[Preço Unitário]],"Não foi possível calcular")</f>
        <v>425</v>
      </c>
    </row>
    <row r="10" spans="2:6" ht="18" x14ac:dyDescent="0.35">
      <c r="B10" s="17">
        <v>44597</v>
      </c>
      <c r="C10" s="18" t="s">
        <v>25</v>
      </c>
      <c r="D10" s="11">
        <v>30</v>
      </c>
      <c r="E10" s="24" cm="1">
        <f t="array" ref="E10">_xlfn.XLOOKUP(TB_Saídas[[#This Row],[Produto]],TB_Produtos[[#All],[Produto]],TB_Produtos[[#All],[Preço Unitário]],"Produto não Encontrado",0,1)</f>
        <v>7.5</v>
      </c>
      <c r="F10" s="20">
        <f>IFERROR(TB_Saídas[[#This Row],[Quantidade Vendida]]*TB_Saídas[[#This Row],[Preço Unitário]],"Não foi possível calcular")</f>
        <v>225</v>
      </c>
    </row>
    <row r="11" spans="2:6" ht="18" x14ac:dyDescent="0.35">
      <c r="B11" s="17">
        <v>44598</v>
      </c>
      <c r="C11" s="18" t="s">
        <v>6</v>
      </c>
      <c r="D11" s="11">
        <v>110</v>
      </c>
      <c r="E11" s="24" cm="1">
        <f t="array" ref="E11">_xlfn.XLOOKUP(TB_Saídas[[#This Row],[Produto]],TB_Produtos[[#All],[Produto]],TB_Produtos[[#All],[Preço Unitário]],"Produto não Encontrado",0,1)</f>
        <v>6</v>
      </c>
      <c r="F11" s="20">
        <f>IFERROR(TB_Saídas[[#This Row],[Quantidade Vendida]]*TB_Saídas[[#This Row],[Preço Unitário]],"Não foi possível calcular")</f>
        <v>660</v>
      </c>
    </row>
    <row r="12" spans="2:6" ht="18" x14ac:dyDescent="0.35">
      <c r="B12" s="17">
        <v>44602</v>
      </c>
      <c r="C12" s="18" t="s">
        <v>19</v>
      </c>
      <c r="D12" s="11">
        <v>75</v>
      </c>
      <c r="E12" s="24" cm="1">
        <f t="array" ref="E12">_xlfn.XLOOKUP(TB_Saídas[[#This Row],[Produto]],TB_Produtos[[#All],[Produto]],TB_Produtos[[#All],[Preço Unitário]],"Produto não Encontrado",0,1)</f>
        <v>8.5</v>
      </c>
      <c r="F12" s="20">
        <f>IFERROR(TB_Saídas[[#This Row],[Quantidade Vendida]]*TB_Saídas[[#This Row],[Preço Unitário]],"Não foi possível calcular")</f>
        <v>637.5</v>
      </c>
    </row>
    <row r="13" spans="2:6" ht="18" x14ac:dyDescent="0.35">
      <c r="B13" s="17">
        <v>44620</v>
      </c>
      <c r="C13" s="18" t="s">
        <v>10</v>
      </c>
      <c r="D13" s="11">
        <v>20</v>
      </c>
      <c r="E13" s="24" cm="1">
        <f t="array" ref="E13">_xlfn.XLOOKUP(TB_Saídas[[#This Row],[Produto]],TB_Produtos[[#All],[Produto]],TB_Produtos[[#All],[Preço Unitário]],"Produto não Encontrado",0,1)</f>
        <v>6.5</v>
      </c>
      <c r="F13" s="20">
        <f>IFERROR(TB_Saídas[[#This Row],[Quantidade Vendida]]*TB_Saídas[[#This Row],[Preço Unitário]],"Não foi possível calcular")</f>
        <v>130</v>
      </c>
    </row>
    <row r="14" spans="2:6" ht="18" x14ac:dyDescent="0.35">
      <c r="B14" s="17">
        <v>44626</v>
      </c>
      <c r="C14" s="18" t="s">
        <v>36</v>
      </c>
      <c r="D14" s="11">
        <v>110</v>
      </c>
      <c r="E14" s="24" cm="1">
        <f t="array" ref="E14">_xlfn.XLOOKUP(TB_Saídas[[#This Row],[Produto]],TB_Produtos[[#All],[Produto]],TB_Produtos[[#All],[Preço Unitário]],"Produto não Encontrado",0,1)</f>
        <v>8</v>
      </c>
      <c r="F14" s="20">
        <f>IFERROR(TB_Saídas[[#This Row],[Quantidade Vendida]]*TB_Saídas[[#This Row],[Preço Unitário]],"Não foi possível calcular")</f>
        <v>880</v>
      </c>
    </row>
    <row r="15" spans="2:6" ht="18" x14ac:dyDescent="0.35">
      <c r="B15" s="17">
        <v>44631</v>
      </c>
      <c r="C15" s="18" t="s">
        <v>25</v>
      </c>
      <c r="D15" s="11">
        <v>40</v>
      </c>
      <c r="E15" s="24" cm="1">
        <f t="array" ref="E15">_xlfn.XLOOKUP(TB_Saídas[[#This Row],[Produto]],TB_Produtos[[#All],[Produto]],TB_Produtos[[#All],[Preço Unitário]],"Produto não Encontrado",0,1)</f>
        <v>7.5</v>
      </c>
      <c r="F15" s="20">
        <f>IFERROR(TB_Saídas[[#This Row],[Quantidade Vendida]]*TB_Saídas[[#This Row],[Preço Unitário]],"Não foi possível calcular")</f>
        <v>300</v>
      </c>
    </row>
    <row r="16" spans="2:6" ht="18" x14ac:dyDescent="0.35">
      <c r="B16" s="17">
        <v>44646</v>
      </c>
      <c r="C16" s="18" t="s">
        <v>19</v>
      </c>
      <c r="D16" s="11">
        <v>50</v>
      </c>
      <c r="E16" s="24" cm="1">
        <f t="array" ref="E16">_xlfn.XLOOKUP(TB_Saídas[[#This Row],[Produto]],TB_Produtos[[#All],[Produto]],TB_Produtos[[#All],[Preço Unitário]],"Produto não Encontrado",0,1)</f>
        <v>8.5</v>
      </c>
      <c r="F16" s="20">
        <f>IFERROR(TB_Saídas[[#This Row],[Quantidade Vendida]]*TB_Saídas[[#This Row],[Preço Unitário]],"Não foi possível calcular")</f>
        <v>425</v>
      </c>
    </row>
    <row r="17" spans="2:6" ht="18" x14ac:dyDescent="0.35">
      <c r="B17" s="17">
        <v>44649</v>
      </c>
      <c r="C17" s="18" t="s">
        <v>10</v>
      </c>
      <c r="D17" s="11">
        <v>15</v>
      </c>
      <c r="E17" s="24" cm="1">
        <f t="array" ref="E17">_xlfn.XLOOKUP(TB_Saídas[[#This Row],[Produto]],TB_Produtos[[#All],[Produto]],TB_Produtos[[#All],[Preço Unitário]],"Produto não Encontrado",0,1)</f>
        <v>6.5</v>
      </c>
      <c r="F17" s="20">
        <f>IFERROR(TB_Saídas[[#This Row],[Quantidade Vendida]]*TB_Saídas[[#This Row],[Preço Unitário]],"Não foi possível calcular")</f>
        <v>97.5</v>
      </c>
    </row>
    <row r="18" spans="2:6" ht="18" x14ac:dyDescent="0.35">
      <c r="B18" s="17">
        <v>44630</v>
      </c>
      <c r="C18" s="18" t="s">
        <v>6</v>
      </c>
      <c r="D18" s="11">
        <v>100</v>
      </c>
      <c r="E18" s="24" cm="1">
        <f t="array" ref="E18">_xlfn.XLOOKUP(TB_Saídas[[#This Row],[Produto]],TB_Produtos[[#All],[Produto]],TB_Produtos[[#All],[Preço Unitário]],"Produto não Encontrado",0,1)</f>
        <v>6</v>
      </c>
      <c r="F18" s="20">
        <f>IFERROR(TB_Saídas[[#This Row],[Quantidade Vendida]]*TB_Saídas[[#This Row],[Preço Unitário]],"Não foi possível calcular")</f>
        <v>600</v>
      </c>
    </row>
    <row r="19" spans="2:6" ht="18" x14ac:dyDescent="0.35">
      <c r="B19" s="17">
        <v>44659</v>
      </c>
      <c r="C19" s="18" t="s">
        <v>10</v>
      </c>
      <c r="D19" s="11">
        <v>40</v>
      </c>
      <c r="E19" s="24" cm="1">
        <f t="array" ref="E19">_xlfn.XLOOKUP(TB_Saídas[[#This Row],[Produto]],TB_Produtos[[#All],[Produto]],TB_Produtos[[#All],[Preço Unitário]],"Produto não Encontrado",0,1)</f>
        <v>6.5</v>
      </c>
      <c r="F19" s="20">
        <f>IFERROR(TB_Saídas[[#This Row],[Quantidade Vendida]]*TB_Saídas[[#This Row],[Preço Unitário]],"Não foi possível calcular")</f>
        <v>260</v>
      </c>
    </row>
    <row r="20" spans="2:6" ht="18" x14ac:dyDescent="0.35">
      <c r="B20" s="17">
        <v>44663</v>
      </c>
      <c r="C20" s="18" t="s">
        <v>6</v>
      </c>
      <c r="D20" s="11">
        <v>75</v>
      </c>
      <c r="E20" s="24" cm="1">
        <f t="array" ref="E20">_xlfn.XLOOKUP(TB_Saídas[[#This Row],[Produto]],TB_Produtos[[#All],[Produto]],TB_Produtos[[#All],[Preço Unitário]],"Produto não Encontrado",0,1)</f>
        <v>6</v>
      </c>
      <c r="F20" s="20">
        <f>IFERROR(TB_Saídas[[#This Row],[Quantidade Vendida]]*TB_Saídas[[#This Row],[Preço Unitário]],"Não foi possível calcular")</f>
        <v>450</v>
      </c>
    </row>
    <row r="21" spans="2:6" ht="18" x14ac:dyDescent="0.35">
      <c r="B21" s="17">
        <v>44667</v>
      </c>
      <c r="C21" s="18" t="s">
        <v>31</v>
      </c>
      <c r="D21" s="11">
        <v>25</v>
      </c>
      <c r="E21" s="24" cm="1">
        <f t="array" ref="E21">_xlfn.XLOOKUP(TB_Saídas[[#This Row],[Produto]],TB_Produtos[[#All],[Produto]],TB_Produtos[[#All],[Preço Unitário]],"Produto não Encontrado",0,1)</f>
        <v>8</v>
      </c>
      <c r="F21" s="20">
        <f>IFERROR(TB_Saídas[[#This Row],[Quantidade Vendida]]*TB_Saídas[[#This Row],[Preço Unitário]],"Não foi possível calcular")</f>
        <v>200</v>
      </c>
    </row>
    <row r="22" spans="2:6" ht="18" x14ac:dyDescent="0.35">
      <c r="B22" s="17">
        <v>44671</v>
      </c>
      <c r="C22" s="18" t="s">
        <v>25</v>
      </c>
      <c r="D22" s="11">
        <v>40</v>
      </c>
      <c r="E22" s="24" cm="1">
        <f t="array" ref="E22">_xlfn.XLOOKUP(TB_Saídas[[#This Row],[Produto]],TB_Produtos[[#All],[Produto]],TB_Produtos[[#All],[Preço Unitário]],"Produto não Encontrado",0,1)</f>
        <v>7.5</v>
      </c>
      <c r="F22" s="20">
        <f>IFERROR(TB_Saídas[[#This Row],[Quantidade Vendida]]*TB_Saídas[[#This Row],[Preço Unitário]],"Não foi possível calcular")</f>
        <v>300</v>
      </c>
    </row>
    <row r="23" spans="2:6" ht="18" x14ac:dyDescent="0.35">
      <c r="B23" s="17">
        <v>44681</v>
      </c>
      <c r="C23" s="18" t="s">
        <v>19</v>
      </c>
      <c r="D23" s="11">
        <v>35</v>
      </c>
      <c r="E23" s="24" cm="1">
        <f t="array" ref="E23">_xlfn.XLOOKUP(TB_Saídas[[#This Row],[Produto]],TB_Produtos[[#All],[Produto]],TB_Produtos[[#All],[Preço Unitário]],"Produto não Encontrado",0,1)</f>
        <v>8.5</v>
      </c>
      <c r="F23" s="20">
        <f>IFERROR(TB_Saídas[[#This Row],[Quantidade Vendida]]*TB_Saídas[[#This Row],[Preço Unitário]],"Não foi possível calcular")</f>
        <v>297.5</v>
      </c>
    </row>
    <row r="24" spans="2:6" ht="18" x14ac:dyDescent="0.35">
      <c r="B24" s="17">
        <v>44691</v>
      </c>
      <c r="C24" s="18" t="s">
        <v>25</v>
      </c>
      <c r="D24" s="11">
        <v>35</v>
      </c>
      <c r="E24" s="24" cm="1">
        <f t="array" ref="E24">_xlfn.XLOOKUP(TB_Saídas[[#This Row],[Produto]],TB_Produtos[[#All],[Produto]],TB_Produtos[[#All],[Preço Unitário]],"Produto não Encontrado",0,1)</f>
        <v>7.5</v>
      </c>
      <c r="F24" s="20">
        <f>IFERROR(TB_Saídas[[#This Row],[Quantidade Vendida]]*TB_Saídas[[#This Row],[Preço Unitário]],"Não foi possível calcular")</f>
        <v>262.5</v>
      </c>
    </row>
    <row r="25" spans="2:6" ht="18" x14ac:dyDescent="0.35">
      <c r="B25" s="17">
        <v>44692</v>
      </c>
      <c r="C25" s="18" t="s">
        <v>27</v>
      </c>
      <c r="D25" s="11">
        <v>20</v>
      </c>
      <c r="E25" s="24" cm="1">
        <f t="array" ref="E25">_xlfn.XLOOKUP(TB_Saídas[[#This Row],[Produto]],TB_Produtos[[#All],[Produto]],TB_Produtos[[#All],[Preço Unitário]],"Produto não Encontrado",0,1)</f>
        <v>15</v>
      </c>
      <c r="F25" s="20">
        <f>IFERROR(TB_Saídas[[#This Row],[Quantidade Vendida]]*TB_Saídas[[#This Row],[Preço Unitário]],"Não foi possível calcular")</f>
        <v>300</v>
      </c>
    </row>
    <row r="26" spans="2:6" ht="18" x14ac:dyDescent="0.35">
      <c r="B26" s="17">
        <v>44692</v>
      </c>
      <c r="C26" s="18" t="s">
        <v>6</v>
      </c>
      <c r="D26" s="11">
        <v>75</v>
      </c>
      <c r="E26" s="24" cm="1">
        <f t="array" ref="E26">_xlfn.XLOOKUP(TB_Saídas[[#This Row],[Produto]],TB_Produtos[[#All],[Produto]],TB_Produtos[[#All],[Preço Unitário]],"Produto não Encontrado",0,1)</f>
        <v>6</v>
      </c>
      <c r="F26" s="20">
        <f>IFERROR(TB_Saídas[[#This Row],[Quantidade Vendida]]*TB_Saídas[[#This Row],[Preço Unitário]],"Não foi possível calcular")</f>
        <v>450</v>
      </c>
    </row>
    <row r="27" spans="2:6" ht="18" x14ac:dyDescent="0.35">
      <c r="B27" s="17">
        <v>44700</v>
      </c>
      <c r="C27" s="18" t="s">
        <v>19</v>
      </c>
      <c r="D27" s="11">
        <v>27</v>
      </c>
      <c r="E27" s="24" cm="1">
        <f t="array" ref="E27">_xlfn.XLOOKUP(TB_Saídas[[#This Row],[Produto]],TB_Produtos[[#All],[Produto]],TB_Produtos[[#All],[Preço Unitário]],"Produto não Encontrado",0,1)</f>
        <v>8.5</v>
      </c>
      <c r="F27" s="20">
        <f>IFERROR(TB_Saídas[[#This Row],[Quantidade Vendida]]*TB_Saídas[[#This Row],[Preço Unitário]],"Não foi possível calcular")</f>
        <v>229.5</v>
      </c>
    </row>
    <row r="28" spans="2:6" ht="18" x14ac:dyDescent="0.35">
      <c r="B28" s="17">
        <v>44700</v>
      </c>
      <c r="C28" s="18" t="s">
        <v>10</v>
      </c>
      <c r="D28" s="11">
        <v>20</v>
      </c>
      <c r="E28" s="24" cm="1">
        <f t="array" ref="E28">_xlfn.XLOOKUP(TB_Saídas[[#This Row],[Produto]],TB_Produtos[[#All],[Produto]],TB_Produtos[[#All],[Preço Unitário]],"Produto não Encontrado",0,1)</f>
        <v>6.5</v>
      </c>
      <c r="F28" s="20">
        <f>IFERROR(TB_Saídas[[#This Row],[Quantidade Vendida]]*TB_Saídas[[#This Row],[Preço Unitário]],"Não foi possível calcular")</f>
        <v>130</v>
      </c>
    </row>
    <row r="29" spans="2:6" ht="18" x14ac:dyDescent="0.35">
      <c r="B29" s="17">
        <v>44737</v>
      </c>
      <c r="C29" s="18" t="s">
        <v>19</v>
      </c>
      <c r="D29" s="11">
        <v>35</v>
      </c>
      <c r="E29" s="24" cm="1">
        <f t="array" ref="E29">_xlfn.XLOOKUP(TB_Saídas[[#This Row],[Produto]],TB_Produtos[[#All],[Produto]],TB_Produtos[[#All],[Preço Unitário]],"Produto não Encontrado",0,1)</f>
        <v>8.5</v>
      </c>
      <c r="F29" s="20">
        <f>IFERROR(TB_Saídas[[#This Row],[Quantidade Vendida]]*TB_Saídas[[#This Row],[Preço Unitário]],"Não foi possível calcular")</f>
        <v>297.5</v>
      </c>
    </row>
    <row r="30" spans="2:6" ht="18" x14ac:dyDescent="0.35">
      <c r="B30" s="17">
        <v>44738</v>
      </c>
      <c r="C30" s="18" t="s">
        <v>6</v>
      </c>
      <c r="D30" s="11">
        <v>100</v>
      </c>
      <c r="E30" s="24" cm="1">
        <f t="array" ref="E30">_xlfn.XLOOKUP(TB_Saídas[[#This Row],[Produto]],TB_Produtos[[#All],[Produto]],TB_Produtos[[#All],[Preço Unitário]],"Produto não Encontrado",0,1)</f>
        <v>6</v>
      </c>
      <c r="F30" s="20">
        <f>IFERROR(TB_Saídas[[#This Row],[Quantidade Vendida]]*TB_Saídas[[#This Row],[Preço Unitário]],"Não foi possível calcular")</f>
        <v>600</v>
      </c>
    </row>
    <row r="31" spans="2:6" ht="18" x14ac:dyDescent="0.35">
      <c r="B31" s="17">
        <v>44738</v>
      </c>
      <c r="C31" s="18" t="s">
        <v>25</v>
      </c>
      <c r="D31" s="11">
        <v>20</v>
      </c>
      <c r="E31" s="24" cm="1">
        <f t="array" ref="E31">_xlfn.XLOOKUP(TB_Saídas[[#This Row],[Produto]],TB_Produtos[[#All],[Produto]],TB_Produtos[[#All],[Preço Unitário]],"Produto não Encontrado",0,1)</f>
        <v>7.5</v>
      </c>
      <c r="F31" s="20">
        <f>IFERROR(TB_Saídas[[#This Row],[Quantidade Vendida]]*TB_Saídas[[#This Row],[Preço Unitário]],"Não foi possível calcular")</f>
        <v>150</v>
      </c>
    </row>
    <row r="32" spans="2:6" ht="18" x14ac:dyDescent="0.35">
      <c r="B32" s="17">
        <v>44739</v>
      </c>
      <c r="C32" s="18" t="s">
        <v>10</v>
      </c>
      <c r="D32" s="11">
        <v>15</v>
      </c>
      <c r="E32" s="24" cm="1">
        <f t="array" ref="E32">_xlfn.XLOOKUP(TB_Saídas[[#This Row],[Produto]],TB_Produtos[[#All],[Produto]],TB_Produtos[[#All],[Preço Unitário]],"Produto não Encontrado",0,1)</f>
        <v>6.5</v>
      </c>
      <c r="F32" s="20">
        <f>IFERROR(TB_Saídas[[#This Row],[Quantidade Vendida]]*TB_Saídas[[#This Row],[Preço Unitário]],"Não foi possível calcular")</f>
        <v>97.5</v>
      </c>
    </row>
    <row r="33" spans="2:6" ht="18" x14ac:dyDescent="0.35">
      <c r="B33" s="17">
        <v>44749</v>
      </c>
      <c r="C33" s="18" t="s">
        <v>26</v>
      </c>
      <c r="D33" s="11">
        <v>40</v>
      </c>
      <c r="E33" s="24" cm="1">
        <f t="array" ref="E33">_xlfn.XLOOKUP(TB_Saídas[[#This Row],[Produto]],TB_Produtos[[#All],[Produto]],TB_Produtos[[#All],[Preço Unitário]],"Produto não Encontrado",0,1)</f>
        <v>10</v>
      </c>
      <c r="F33" s="20">
        <f>IFERROR(TB_Saídas[[#This Row],[Quantidade Vendida]]*TB_Saídas[[#This Row],[Preço Unitário]],"Não foi possível calcular")</f>
        <v>400</v>
      </c>
    </row>
    <row r="34" spans="2:6" ht="18" x14ac:dyDescent="0.35">
      <c r="B34" s="17">
        <v>44749</v>
      </c>
      <c r="C34" s="18" t="s">
        <v>6</v>
      </c>
      <c r="D34" s="11">
        <v>90</v>
      </c>
      <c r="E34" s="24" cm="1">
        <f t="array" ref="E34">_xlfn.XLOOKUP(TB_Saídas[[#This Row],[Produto]],TB_Produtos[[#All],[Produto]],TB_Produtos[[#All],[Preço Unitário]],"Produto não Encontrado",0,1)</f>
        <v>6</v>
      </c>
      <c r="F34" s="20">
        <f>IFERROR(TB_Saídas[[#This Row],[Quantidade Vendida]]*TB_Saídas[[#This Row],[Preço Unitário]],"Não foi possível calcular")</f>
        <v>540</v>
      </c>
    </row>
    <row r="35" spans="2:6" ht="18" x14ac:dyDescent="0.35">
      <c r="B35" s="17">
        <v>44758</v>
      </c>
      <c r="C35" s="18" t="s">
        <v>10</v>
      </c>
      <c r="D35" s="11">
        <v>35</v>
      </c>
      <c r="E35" s="24" cm="1">
        <f t="array" ref="E35">_xlfn.XLOOKUP(TB_Saídas[[#This Row],[Produto]],TB_Produtos[[#All],[Produto]],TB_Produtos[[#All],[Preço Unitário]],"Produto não Encontrado",0,1)</f>
        <v>6.5</v>
      </c>
      <c r="F35" s="20">
        <f>IFERROR(TB_Saídas[[#This Row],[Quantidade Vendida]]*TB_Saídas[[#This Row],[Preço Unitário]],"Não foi possível calcular")</f>
        <v>227.5</v>
      </c>
    </row>
    <row r="36" spans="2:6" ht="18" x14ac:dyDescent="0.35">
      <c r="B36" s="17">
        <v>44765</v>
      </c>
      <c r="C36" s="18" t="s">
        <v>19</v>
      </c>
      <c r="D36" s="11">
        <v>75</v>
      </c>
      <c r="E36" s="24" cm="1">
        <f t="array" ref="E36">_xlfn.XLOOKUP(TB_Saídas[[#This Row],[Produto]],TB_Produtos[[#All],[Produto]],TB_Produtos[[#All],[Preço Unitário]],"Produto não Encontrado",0,1)</f>
        <v>8.5</v>
      </c>
      <c r="F36" s="20">
        <f>IFERROR(TB_Saídas[[#This Row],[Quantidade Vendida]]*TB_Saídas[[#This Row],[Preço Unitário]],"Não foi possível calcular")</f>
        <v>637.5</v>
      </c>
    </row>
    <row r="37" spans="2:6" ht="18" x14ac:dyDescent="0.35">
      <c r="B37" s="17">
        <v>44772</v>
      </c>
      <c r="C37" s="18" t="s">
        <v>25</v>
      </c>
      <c r="D37" s="11">
        <v>55</v>
      </c>
      <c r="E37" s="24" cm="1">
        <f t="array" ref="E37">_xlfn.XLOOKUP(TB_Saídas[[#This Row],[Produto]],TB_Produtos[[#All],[Produto]],TB_Produtos[[#All],[Preço Unitário]],"Produto não Encontrado",0,1)</f>
        <v>7.5</v>
      </c>
      <c r="F37" s="20">
        <f>IFERROR(TB_Saídas[[#This Row],[Quantidade Vendida]]*TB_Saídas[[#This Row],[Preço Unitário]],"Não foi possível calcular")</f>
        <v>412.5</v>
      </c>
    </row>
    <row r="38" spans="2:6" ht="18" x14ac:dyDescent="0.35">
      <c r="B38" s="17">
        <v>44792</v>
      </c>
      <c r="C38" s="18" t="s">
        <v>10</v>
      </c>
      <c r="D38" s="11">
        <v>12</v>
      </c>
      <c r="E38" s="24" cm="1">
        <f t="array" ref="E38">_xlfn.XLOOKUP(TB_Saídas[[#This Row],[Produto]],TB_Produtos[[#All],[Produto]],TB_Produtos[[#All],[Preço Unitário]],"Produto não Encontrado",0,1)</f>
        <v>6.5</v>
      </c>
      <c r="F38" s="20">
        <f>IFERROR(TB_Saídas[[#This Row],[Quantidade Vendida]]*TB_Saídas[[#This Row],[Preço Unitário]],"Não foi possível calcular")</f>
        <v>78</v>
      </c>
    </row>
    <row r="39" spans="2:6" ht="18" x14ac:dyDescent="0.35">
      <c r="B39" s="17">
        <v>44794</v>
      </c>
      <c r="C39" s="18" t="s">
        <v>19</v>
      </c>
      <c r="D39" s="11">
        <v>36</v>
      </c>
      <c r="E39" s="24" cm="1">
        <f t="array" ref="E39">_xlfn.XLOOKUP(TB_Saídas[[#This Row],[Produto]],TB_Produtos[[#All],[Produto]],TB_Produtos[[#All],[Preço Unitário]],"Produto não Encontrado",0,1)</f>
        <v>8.5</v>
      </c>
      <c r="F39" s="20">
        <f>IFERROR(TB_Saídas[[#This Row],[Quantidade Vendida]]*TB_Saídas[[#This Row],[Preço Unitário]],"Não foi possível calcular")</f>
        <v>306</v>
      </c>
    </row>
    <row r="40" spans="2:6" ht="18" x14ac:dyDescent="0.35">
      <c r="B40" s="17">
        <v>44803</v>
      </c>
      <c r="C40" s="18" t="s">
        <v>23</v>
      </c>
      <c r="D40" s="11">
        <v>90</v>
      </c>
      <c r="E40" s="24" cm="1">
        <f t="array" ref="E40">_xlfn.XLOOKUP(TB_Saídas[[#This Row],[Produto]],TB_Produtos[[#All],[Produto]],TB_Produtos[[#All],[Preço Unitário]],"Produto não Encontrado",0,1)</f>
        <v>5</v>
      </c>
      <c r="F40" s="20">
        <f>IFERROR(TB_Saídas[[#This Row],[Quantidade Vendida]]*TB_Saídas[[#This Row],[Preço Unitário]],"Não foi possível calcular")</f>
        <v>450</v>
      </c>
    </row>
    <row r="41" spans="2:6" ht="18" x14ac:dyDescent="0.35">
      <c r="B41" s="17">
        <v>44803</v>
      </c>
      <c r="C41" s="18" t="s">
        <v>25</v>
      </c>
      <c r="D41" s="11">
        <v>25</v>
      </c>
      <c r="E41" s="24" cm="1">
        <f t="array" ref="E41">_xlfn.XLOOKUP(TB_Saídas[[#This Row],[Produto]],TB_Produtos[[#All],[Produto]],TB_Produtos[[#All],[Preço Unitário]],"Produto não Encontrado",0,1)</f>
        <v>7.5</v>
      </c>
      <c r="F41" s="20">
        <f>IFERROR(TB_Saídas[[#This Row],[Quantidade Vendida]]*TB_Saídas[[#This Row],[Preço Unitário]],"Não foi possível calcular")</f>
        <v>187.5</v>
      </c>
    </row>
    <row r="42" spans="2:6" ht="18" x14ac:dyDescent="0.35">
      <c r="B42" s="17">
        <v>44803</v>
      </c>
      <c r="C42" s="18" t="s">
        <v>6</v>
      </c>
      <c r="D42" s="11">
        <v>100</v>
      </c>
      <c r="E42" s="24" cm="1">
        <f t="array" ref="E42">_xlfn.XLOOKUP(TB_Saídas[[#This Row],[Produto]],TB_Produtos[[#All],[Produto]],TB_Produtos[[#All],[Preço Unitário]],"Produto não Encontrado",0,1)</f>
        <v>6</v>
      </c>
      <c r="F42" s="20">
        <f>IFERROR(TB_Saídas[[#This Row],[Quantidade Vendida]]*TB_Saídas[[#This Row],[Preço Unitário]],"Não foi possível calcular")</f>
        <v>600</v>
      </c>
    </row>
    <row r="43" spans="2:6" ht="18" x14ac:dyDescent="0.35">
      <c r="B43" s="17">
        <v>44811</v>
      </c>
      <c r="C43" s="18" t="s">
        <v>36</v>
      </c>
      <c r="D43" s="11">
        <v>100</v>
      </c>
      <c r="E43" s="24" cm="1">
        <f t="array" ref="E43">_xlfn.XLOOKUP(TB_Saídas[[#This Row],[Produto]],TB_Produtos[[#All],[Produto]],TB_Produtos[[#All],[Preço Unitário]],"Produto não Encontrado",0,1)</f>
        <v>8</v>
      </c>
      <c r="F43" s="20">
        <f>IFERROR(TB_Saídas[[#This Row],[Quantidade Vendida]]*TB_Saídas[[#This Row],[Preço Unitário]],"Não foi possível calcular")</f>
        <v>800</v>
      </c>
    </row>
    <row r="44" spans="2:6" ht="18" x14ac:dyDescent="0.35">
      <c r="B44" s="17">
        <v>44811</v>
      </c>
      <c r="C44" s="18" t="s">
        <v>6</v>
      </c>
      <c r="D44" s="11">
        <v>35</v>
      </c>
      <c r="E44" s="24" cm="1">
        <f t="array" ref="E44">_xlfn.XLOOKUP(TB_Saídas[[#This Row],[Produto]],TB_Produtos[[#All],[Produto]],TB_Produtos[[#All],[Preço Unitário]],"Produto não Encontrado",0,1)</f>
        <v>6</v>
      </c>
      <c r="F44" s="20">
        <f>IFERROR(TB_Saídas[[#This Row],[Quantidade Vendida]]*TB_Saídas[[#This Row],[Preço Unitário]],"Não foi possível calcular")</f>
        <v>210</v>
      </c>
    </row>
    <row r="45" spans="2:6" ht="18" x14ac:dyDescent="0.35">
      <c r="B45" s="17">
        <v>44821</v>
      </c>
      <c r="C45" s="18" t="s">
        <v>19</v>
      </c>
      <c r="D45" s="11">
        <v>42</v>
      </c>
      <c r="E45" s="24" cm="1">
        <f t="array" ref="E45">_xlfn.XLOOKUP(TB_Saídas[[#This Row],[Produto]],TB_Produtos[[#All],[Produto]],TB_Produtos[[#All],[Preço Unitário]],"Produto não Encontrado",0,1)</f>
        <v>8.5</v>
      </c>
      <c r="F45" s="20">
        <f>IFERROR(TB_Saídas[[#This Row],[Quantidade Vendida]]*TB_Saídas[[#This Row],[Preço Unitário]],"Não foi possível calcular")</f>
        <v>357</v>
      </c>
    </row>
    <row r="46" spans="2:6" ht="18" x14ac:dyDescent="0.35">
      <c r="B46" s="17">
        <v>44823</v>
      </c>
      <c r="C46" s="18" t="s">
        <v>28</v>
      </c>
      <c r="D46" s="11">
        <v>30</v>
      </c>
      <c r="E46" s="24" cm="1">
        <f t="array" ref="E46">_xlfn.XLOOKUP(TB_Saídas[[#This Row],[Produto]],TB_Produtos[[#All],[Produto]],TB_Produtos[[#All],[Preço Unitário]],"Produto não Encontrado",0,1)</f>
        <v>15</v>
      </c>
      <c r="F46" s="20">
        <f>IFERROR(TB_Saídas[[#This Row],[Quantidade Vendida]]*TB_Saídas[[#This Row],[Preço Unitário]],"Não foi possível calcular")</f>
        <v>450</v>
      </c>
    </row>
    <row r="47" spans="2:6" ht="18" x14ac:dyDescent="0.35">
      <c r="B47" s="17">
        <v>44829</v>
      </c>
      <c r="C47" s="18" t="s">
        <v>25</v>
      </c>
      <c r="D47" s="11">
        <v>40</v>
      </c>
      <c r="E47" s="24" cm="1">
        <f t="array" ref="E47">_xlfn.XLOOKUP(TB_Saídas[[#This Row],[Produto]],TB_Produtos[[#All],[Produto]],TB_Produtos[[#All],[Preço Unitário]],"Produto não Encontrado",0,1)</f>
        <v>7.5</v>
      </c>
      <c r="F47" s="20">
        <f>IFERROR(TB_Saídas[[#This Row],[Quantidade Vendida]]*TB_Saídas[[#This Row],[Preço Unitário]],"Não foi possível calcular")</f>
        <v>300</v>
      </c>
    </row>
    <row r="48" spans="2:6" ht="18" x14ac:dyDescent="0.35">
      <c r="B48" s="17">
        <v>44834</v>
      </c>
      <c r="C48" s="18" t="s">
        <v>10</v>
      </c>
      <c r="D48" s="11">
        <v>18</v>
      </c>
      <c r="E48" s="24" cm="1">
        <f t="array" ref="E48">_xlfn.XLOOKUP(TB_Saídas[[#This Row],[Produto]],TB_Produtos[[#All],[Produto]],TB_Produtos[[#All],[Preço Unitário]],"Produto não Encontrado",0,1)</f>
        <v>6.5</v>
      </c>
      <c r="F48" s="20">
        <f>IFERROR(TB_Saídas[[#This Row],[Quantidade Vendida]]*TB_Saídas[[#This Row],[Preço Unitário]],"Não foi possível calcular")</f>
        <v>117</v>
      </c>
    </row>
    <row r="49" spans="2:6" ht="18" x14ac:dyDescent="0.35">
      <c r="B49" s="17">
        <v>44838</v>
      </c>
      <c r="C49" s="18" t="s">
        <v>19</v>
      </c>
      <c r="D49" s="11">
        <v>28</v>
      </c>
      <c r="E49" s="24" cm="1">
        <f t="array" ref="E49">_xlfn.XLOOKUP(TB_Saídas[[#This Row],[Produto]],TB_Produtos[[#All],[Produto]],TB_Produtos[[#All],[Preço Unitário]],"Produto não Encontrado",0,1)</f>
        <v>8.5</v>
      </c>
      <c r="F49" s="20">
        <f>IFERROR(TB_Saídas[[#This Row],[Quantidade Vendida]]*TB_Saídas[[#This Row],[Preço Unitário]],"Não foi possível calcular")</f>
        <v>238</v>
      </c>
    </row>
    <row r="50" spans="2:6" ht="18" x14ac:dyDescent="0.35">
      <c r="B50" s="17">
        <v>44847</v>
      </c>
      <c r="C50" s="18" t="s">
        <v>27</v>
      </c>
      <c r="D50" s="11">
        <v>30</v>
      </c>
      <c r="E50" s="24" cm="1">
        <f t="array" ref="E50">_xlfn.XLOOKUP(TB_Saídas[[#This Row],[Produto]],TB_Produtos[[#All],[Produto]],TB_Produtos[[#All],[Preço Unitário]],"Produto não Encontrado",0,1)</f>
        <v>15</v>
      </c>
      <c r="F50" s="20">
        <f>IFERROR(TB_Saídas[[#This Row],[Quantidade Vendida]]*TB_Saídas[[#This Row],[Preço Unitário]],"Não foi possível calcular")</f>
        <v>450</v>
      </c>
    </row>
    <row r="51" spans="2:6" ht="18" x14ac:dyDescent="0.35">
      <c r="B51" s="17">
        <v>44851</v>
      </c>
      <c r="C51" s="18" t="s">
        <v>25</v>
      </c>
      <c r="D51" s="11">
        <v>30</v>
      </c>
      <c r="E51" s="24" cm="1">
        <f t="array" ref="E51">_xlfn.XLOOKUP(TB_Saídas[[#This Row],[Produto]],TB_Produtos[[#All],[Produto]],TB_Produtos[[#All],[Preço Unitário]],"Produto não Encontrado",0,1)</f>
        <v>7.5</v>
      </c>
      <c r="F51" s="20">
        <f>IFERROR(TB_Saídas[[#This Row],[Quantidade Vendida]]*TB_Saídas[[#This Row],[Preço Unitário]],"Não foi possível calcular")</f>
        <v>225</v>
      </c>
    </row>
    <row r="52" spans="2:6" ht="18" x14ac:dyDescent="0.35">
      <c r="B52" s="17">
        <v>44862</v>
      </c>
      <c r="C52" s="18" t="s">
        <v>10</v>
      </c>
      <c r="D52" s="11">
        <v>10</v>
      </c>
      <c r="E52" s="24" cm="1">
        <f t="array" ref="E52">_xlfn.XLOOKUP(TB_Saídas[[#This Row],[Produto]],TB_Produtos[[#All],[Produto]],TB_Produtos[[#All],[Preço Unitário]],"Produto não Encontrado",0,1)</f>
        <v>6.5</v>
      </c>
      <c r="F52" s="20">
        <f>IFERROR(TB_Saídas[[#This Row],[Quantidade Vendida]]*TB_Saídas[[#This Row],[Preço Unitário]],"Não foi possível calcular")</f>
        <v>65</v>
      </c>
    </row>
    <row r="53" spans="2:6" ht="18" x14ac:dyDescent="0.35">
      <c r="B53" s="17">
        <v>44865</v>
      </c>
      <c r="C53" s="18" t="s">
        <v>26</v>
      </c>
      <c r="D53" s="11">
        <v>35</v>
      </c>
      <c r="E53" s="24" cm="1">
        <f t="array" ref="E53">_xlfn.XLOOKUP(TB_Saídas[[#This Row],[Produto]],TB_Produtos[[#All],[Produto]],TB_Produtos[[#All],[Preço Unitário]],"Produto não Encontrado",0,1)</f>
        <v>10</v>
      </c>
      <c r="F53" s="20">
        <f>IFERROR(TB_Saídas[[#This Row],[Quantidade Vendida]]*TB_Saídas[[#This Row],[Preço Unitário]],"Não foi possível calcular")</f>
        <v>350</v>
      </c>
    </row>
    <row r="54" spans="2:6" ht="18" x14ac:dyDescent="0.35">
      <c r="B54" s="17">
        <v>44865</v>
      </c>
      <c r="C54" s="18" t="s">
        <v>6</v>
      </c>
      <c r="D54" s="11">
        <v>30</v>
      </c>
      <c r="E54" s="24" cm="1">
        <f t="array" ref="E54">_xlfn.XLOOKUP(TB_Saídas[[#This Row],[Produto]],TB_Produtos[[#All],[Produto]],TB_Produtos[[#All],[Preço Unitário]],"Produto não Encontrado",0,1)</f>
        <v>6</v>
      </c>
      <c r="F54" s="20">
        <f>IFERROR(TB_Saídas[[#This Row],[Quantidade Vendida]]*TB_Saídas[[#This Row],[Preço Unitário]],"Não foi possível calcular")</f>
        <v>180</v>
      </c>
    </row>
    <row r="55" spans="2:6" ht="18" x14ac:dyDescent="0.35">
      <c r="B55" s="17">
        <v>44869</v>
      </c>
      <c r="C55" s="18" t="s">
        <v>10</v>
      </c>
      <c r="D55" s="11">
        <v>30</v>
      </c>
      <c r="E55" s="24" cm="1">
        <f t="array" ref="E55">_xlfn.XLOOKUP(TB_Saídas[[#This Row],[Produto]],TB_Produtos[[#All],[Produto]],TB_Produtos[[#All],[Preço Unitário]],"Produto não Encontrado",0,1)</f>
        <v>6.5</v>
      </c>
      <c r="F55" s="20">
        <f>IFERROR(TB_Saídas[[#This Row],[Quantidade Vendida]]*TB_Saídas[[#This Row],[Preço Unitário]],"Não foi possível calcular")</f>
        <v>195</v>
      </c>
    </row>
    <row r="56" spans="2:6" ht="18" x14ac:dyDescent="0.35">
      <c r="B56" s="17">
        <v>44870</v>
      </c>
      <c r="C56" s="18" t="s">
        <v>25</v>
      </c>
      <c r="D56" s="11">
        <v>15</v>
      </c>
      <c r="E56" s="24" cm="1">
        <f t="array" ref="E56">_xlfn.XLOOKUP(TB_Saídas[[#This Row],[Produto]],TB_Produtos[[#All],[Produto]],TB_Produtos[[#All],[Preço Unitário]],"Produto não Encontrado",0,1)</f>
        <v>7.5</v>
      </c>
      <c r="F56" s="20">
        <f>IFERROR(TB_Saídas[[#This Row],[Quantidade Vendida]]*TB_Saídas[[#This Row],[Preço Unitário]],"Não foi possível calcular")</f>
        <v>112.5</v>
      </c>
    </row>
    <row r="57" spans="2:6" ht="18" x14ac:dyDescent="0.35">
      <c r="B57" s="17">
        <v>44872</v>
      </c>
      <c r="C57" s="18" t="s">
        <v>6</v>
      </c>
      <c r="D57" s="11">
        <v>50</v>
      </c>
      <c r="E57" s="24" cm="1">
        <f t="array" ref="E57">_xlfn.XLOOKUP(TB_Saídas[[#This Row],[Produto]],TB_Produtos[[#All],[Produto]],TB_Produtos[[#All],[Preço Unitário]],"Produto não Encontrado",0,1)</f>
        <v>6</v>
      </c>
      <c r="F57" s="20">
        <f>IFERROR(TB_Saídas[[#This Row],[Quantidade Vendida]]*TB_Saídas[[#This Row],[Preço Unitário]],"Não foi possível calcular")</f>
        <v>300</v>
      </c>
    </row>
    <row r="58" spans="2:6" ht="18" x14ac:dyDescent="0.35">
      <c r="B58" s="17">
        <v>44886</v>
      </c>
      <c r="C58" s="18" t="s">
        <v>19</v>
      </c>
      <c r="D58" s="11">
        <v>24</v>
      </c>
      <c r="E58" s="24" cm="1">
        <f t="array" ref="E58">_xlfn.XLOOKUP(TB_Saídas[[#This Row],[Produto]],TB_Produtos[[#All],[Produto]],TB_Produtos[[#All],[Preço Unitário]],"Produto não Encontrado",0,1)</f>
        <v>8.5</v>
      </c>
      <c r="F58" s="20">
        <f>IFERROR(TB_Saídas[[#This Row],[Quantidade Vendida]]*TB_Saídas[[#This Row],[Preço Unitário]],"Não foi possível calcular")</f>
        <v>204</v>
      </c>
    </row>
    <row r="59" spans="2:6" ht="18" x14ac:dyDescent="0.35">
      <c r="B59" s="17">
        <v>44897</v>
      </c>
      <c r="C59" s="18" t="s">
        <v>25</v>
      </c>
      <c r="D59" s="11">
        <v>20</v>
      </c>
      <c r="E59" s="24" cm="1">
        <f t="array" ref="E59">_xlfn.XLOOKUP(TB_Saídas[[#This Row],[Produto]],TB_Produtos[[#All],[Produto]],TB_Produtos[[#All],[Preço Unitário]],"Produto não Encontrado",0,1)</f>
        <v>7.5</v>
      </c>
      <c r="F59" s="20">
        <f>IFERROR(TB_Saídas[[#This Row],[Quantidade Vendida]]*TB_Saídas[[#This Row],[Preço Unitário]],"Não foi possível calcular")</f>
        <v>150</v>
      </c>
    </row>
    <row r="60" spans="2:6" ht="18" x14ac:dyDescent="0.35">
      <c r="B60" s="17">
        <v>44905</v>
      </c>
      <c r="C60" s="18" t="s">
        <v>26</v>
      </c>
      <c r="D60" s="11">
        <v>25</v>
      </c>
      <c r="E60" s="24" cm="1">
        <f t="array" ref="E60">_xlfn.XLOOKUP(TB_Saídas[[#This Row],[Produto]],TB_Produtos[[#All],[Produto]],TB_Produtos[[#All],[Preço Unitário]],"Produto não Encontrado",0,1)</f>
        <v>10</v>
      </c>
      <c r="F60" s="20">
        <f>IFERROR(TB_Saídas[[#This Row],[Quantidade Vendida]]*TB_Saídas[[#This Row],[Preço Unitário]],"Não foi possível calcular")</f>
        <v>250</v>
      </c>
    </row>
    <row r="61" spans="2:6" ht="18" x14ac:dyDescent="0.35">
      <c r="B61" s="17">
        <v>44915</v>
      </c>
      <c r="C61" s="18" t="s">
        <v>6</v>
      </c>
      <c r="D61" s="11">
        <v>100</v>
      </c>
      <c r="E61" s="24" cm="1">
        <f t="array" ref="E61">_xlfn.XLOOKUP(TB_Saídas[[#This Row],[Produto]],TB_Produtos[[#All],[Produto]],TB_Produtos[[#All],[Preço Unitário]],"Produto não Encontrado",0,1)</f>
        <v>6</v>
      </c>
      <c r="F61" s="20">
        <f>IFERROR(TB_Saídas[[#This Row],[Quantidade Vendida]]*TB_Saídas[[#This Row],[Preço Unitário]],"Não foi possível calcular")</f>
        <v>600</v>
      </c>
    </row>
    <row r="62" spans="2:6" ht="18" x14ac:dyDescent="0.35">
      <c r="B62" s="17">
        <v>44917</v>
      </c>
      <c r="C62" s="18" t="s">
        <v>19</v>
      </c>
      <c r="D62" s="11">
        <v>23</v>
      </c>
      <c r="E62" s="24" cm="1">
        <f t="array" ref="E62">_xlfn.XLOOKUP(TB_Saídas[[#This Row],[Produto]],TB_Produtos[[#All],[Produto]],TB_Produtos[[#All],[Preço Unitário]],"Produto não Encontrado",0,1)</f>
        <v>8.5</v>
      </c>
      <c r="F62" s="20">
        <f>IFERROR(TB_Saídas[[#This Row],[Quantidade Vendida]]*TB_Saídas[[#This Row],[Preço Unitário]],"Não foi possível calcular")</f>
        <v>195.5</v>
      </c>
    </row>
    <row r="63" spans="2:6" x14ac:dyDescent="0.25">
      <c r="B63" s="3"/>
    </row>
  </sheetData>
  <phoneticPr fontId="2" type="noConversion"/>
  <dataValidations count="1">
    <dataValidation type="list" allowBlank="1" showInputMessage="1" showErrorMessage="1" sqref="C6:C62" xr:uid="{C915EF8A-EC10-4320-A524-64111B80C901}">
      <formula1>Lista_Produtos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05b7ab-9a2f-41ed-818c-74617ab702a7">
      <Terms xmlns="http://schemas.microsoft.com/office/infopath/2007/PartnerControls"/>
    </lcf76f155ced4ddcb4097134ff3c332f>
    <TaxCatchAll xmlns="b7f85c95-9dfd-4a18-b8b1-0a9182cc4fb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6B0A36441F0D4DAD3991578DF7F2F0" ma:contentTypeVersion="13" ma:contentTypeDescription="Crie um novo documento." ma:contentTypeScope="" ma:versionID="b525bbb6548c187a5866d207a61ee26f">
  <xsd:schema xmlns:xsd="http://www.w3.org/2001/XMLSchema" xmlns:xs="http://www.w3.org/2001/XMLSchema" xmlns:p="http://schemas.microsoft.com/office/2006/metadata/properties" xmlns:ns2="4f05b7ab-9a2f-41ed-818c-74617ab702a7" xmlns:ns3="b7f85c95-9dfd-4a18-b8b1-0a9182cc4fb7" targetNamespace="http://schemas.microsoft.com/office/2006/metadata/properties" ma:root="true" ma:fieldsID="d9daf2d0a880eba26c6dec90f44db6ed" ns2:_="" ns3:_="">
    <xsd:import namespace="4f05b7ab-9a2f-41ed-818c-74617ab702a7"/>
    <xsd:import namespace="b7f85c95-9dfd-4a18-b8b1-0a9182cc4f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5b7ab-9a2f-41ed-818c-74617ab702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efc7ddc0-9a8c-4dc4-996d-f4d816cbaa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85c95-9dfd-4a18-b8b1-0a9182cc4fb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c0bbb76-aa18-45ff-9b51-618ac78a5513}" ma:internalName="TaxCatchAll" ma:showField="CatchAllData" ma:web="b7f85c95-9dfd-4a18-b8b1-0a9182cc4f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F1CF2D06-1FF9-49FF-8812-2D4AC65E58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D9DDA8-8D83-494B-91DD-98616E9713D8}">
  <ds:schemaRefs>
    <ds:schemaRef ds:uri="http://schemas.microsoft.com/office/2006/metadata/properties"/>
    <ds:schemaRef ds:uri="http://schemas.microsoft.com/office/infopath/2007/PartnerControls"/>
    <ds:schemaRef ds:uri="4f05b7ab-9a2f-41ed-818c-74617ab702a7"/>
    <ds:schemaRef ds:uri="b7f85c95-9dfd-4a18-b8b1-0a9182cc4fb7"/>
  </ds:schemaRefs>
</ds:datastoreItem>
</file>

<file path=customXml/itemProps3.xml><?xml version="1.0" encoding="utf-8"?>
<ds:datastoreItem xmlns:ds="http://schemas.openxmlformats.org/officeDocument/2006/customXml" ds:itemID="{2EEE9F2F-8385-4E62-9B94-4D21CAC728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05b7ab-9a2f-41ed-818c-74617ab702a7"/>
    <ds:schemaRef ds:uri="b7f85c95-9dfd-4a18-b8b1-0a9182cc4f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8B47659-CF22-4CD4-A3A0-A300698F6727}">
  <ds:schemaRefs/>
</ds:datastoreItem>
</file>

<file path=customXml/itemProps5.xml><?xml version="1.0" encoding="utf-8"?>
<ds:datastoreItem xmlns:ds="http://schemas.openxmlformats.org/officeDocument/2006/customXml" ds:itemID="{5FAB7C18-7AEB-45C2-B84B-7C828CAC6269}">
  <ds:schemaRefs/>
</ds:datastoreItem>
</file>

<file path=customXml/itemProps6.xml><?xml version="1.0" encoding="utf-8"?>
<ds:datastoreItem xmlns:ds="http://schemas.openxmlformats.org/officeDocument/2006/customXml" ds:itemID="{61718FF7-C912-4BE7-AC3D-CFB434B7B68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Produtos</vt:lpstr>
      <vt:lpstr>Fornecedor</vt:lpstr>
      <vt:lpstr>Entradas</vt:lpstr>
      <vt:lpstr>Saídas</vt:lpstr>
      <vt:lpstr>Lista_Produtos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Okamoto</dc:creator>
  <cp:keywords/>
  <dc:description/>
  <cp:lastModifiedBy>Thierry Lucas Chaves</cp:lastModifiedBy>
  <cp:revision/>
  <dcterms:created xsi:type="dcterms:W3CDTF">2022-11-17T13:49:56Z</dcterms:created>
  <dcterms:modified xsi:type="dcterms:W3CDTF">2026-06-13T21:42:57Z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2022-11-17T14:16:04Z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e9925f55-e63e-42cf-82e9-e2e3b4f28421</vt:lpwstr>
  </property>
  <property fmtid="{D5CDD505-2E9C-101B-9397-08002B2CF9AE}" pid="7" name="MSIP_Label_defa4170-0d19-0005-0004-bc88714345d2_ActionId">
    <vt:lpwstr>d1712c9e-5847-482d-92dd-40d44dad60d7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0x010100556B0A36441F0D4DAD3991578DF7F2F0</vt:lpwstr>
  </property>
  <property fmtid="{D5CDD505-2E9C-101B-9397-08002B2CF9AE}" pid="10" name="MediaServiceImageTags">
    <vt:lpwstr/>
  </property>
</Properties>
</file>