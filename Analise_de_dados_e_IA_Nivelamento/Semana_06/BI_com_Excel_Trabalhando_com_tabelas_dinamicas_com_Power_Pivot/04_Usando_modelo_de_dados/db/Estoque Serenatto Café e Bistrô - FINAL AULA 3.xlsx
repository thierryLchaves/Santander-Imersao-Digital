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6\BI_com_Excel_Trabalhando_com_tabelas_dinamicas_com_Power_Pivot\04_Usando_modelo_de_dados\db\"/>
    </mc:Choice>
  </mc:AlternateContent>
  <xr:revisionPtr revIDLastSave="0" documentId="13_ncr:1_{5229EC69-9B02-4610-8E5D-E64D38CC1CAE}" xr6:coauthVersionLast="47" xr6:coauthVersionMax="47" xr10:uidLastSave="{00000000-0000-0000-0000-000000000000}"/>
  <bookViews>
    <workbookView xWindow="-28920" yWindow="-4080" windowWidth="29040" windowHeight="15720" tabRatio="781" activeTab="2" xr2:uid="{87BE7180-3E81-4FE5-B433-FFDBA552102C}"/>
  </bookViews>
  <sheets>
    <sheet name="Dinâmica Relacionada" sheetId="12" r:id="rId1"/>
    <sheet name="Quantidades por Mês" sheetId="13" r:id="rId2"/>
    <sheet name="Custo por Mês" sheetId="14" r:id="rId3"/>
    <sheet name="Produtos" sheetId="2" r:id="rId4"/>
    <sheet name="Fornecedor" sheetId="3" r:id="rId5"/>
    <sheet name="Entradas" sheetId="4" r:id="rId6"/>
    <sheet name="Saídas" sheetId="5" r:id="rId7"/>
  </sheets>
  <definedNames>
    <definedName name="_xlcn.WorksheetConnection_ControledeEstoqueSerenattoCaféeBistrô.xlsxTB_Entradas1" hidden="1">TB_Entradas[]</definedName>
    <definedName name="_xlcn.WorksheetConnection_ControledeEstoqueSerenattoCaféeBistrô.xlsxTB_Fornecedor1" hidden="1">TB_Fornecedor[]</definedName>
    <definedName name="_xlcn.WorksheetConnection_ControledeEstoqueSerenattoCaféeBistrô.xlsxTB_Produtos1" hidden="1">TB_Produtos[]</definedName>
    <definedName name="Lista_Produtos">TB_Produtos[[#All],[Produto]]</definedName>
    <definedName name="SegmentaçãodeDados_Data__Mês">#N/A</definedName>
  </definedNames>
  <calcPr calcId="191028"/>
  <pivotCaches>
    <pivotCache cacheId="93" r:id="rId8"/>
    <pivotCache cacheId="96" r:id="rId9"/>
    <pivotCache cacheId="150" r:id="rId10"/>
  </pivotCaches>
  <extLst>
    <ext xmlns:x14="http://schemas.microsoft.com/office/spreadsheetml/2009/9/main" uri="{876F7934-8845-4945-9796-88D515C7AA90}">
      <x14:pivotCaches>
        <pivotCache cacheId="138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Produtos" name="TB_Produtos" connection="WorksheetConnection_Controle de Estoque Serenatto Café e Bistrô.xlsx!TB_Produtos"/>
          <x15:modelTable id="TB_Fornecedor" name="TB_Fornecedor" connection="WorksheetConnection_Controle de Estoque Serenatto Café e Bistrô.xlsx!TB_Fornecedor"/>
          <x15:modelTable id="TB_Entradas" name="TB_Entradas" connection="WorksheetConnection_Controle de Estoque Serenatto Café e Bistrô.xlsx!TB_Entradas"/>
        </x15:modelTables>
        <x15:modelRelationships>
          <x15:modelRelationship fromTable="TB_Entradas" fromColumn="Produto" toTable="TB_Produtos" toColumn="Código"/>
          <x15:modelRelationship fromTable="TB_Entradas" fromColumn="Fornecedor" toTable="TB_Fornecedor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Entra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5" l="1" a="1"/>
  <c r="F60" i="5" s="1"/>
  <c r="E59" i="5" a="1"/>
  <c r="F59" i="5" s="1"/>
  <c r="E56" i="5" a="1"/>
  <c r="F56" i="5" s="1"/>
  <c r="E51" i="5" a="1"/>
  <c r="F51" i="5" s="1"/>
  <c r="E47" i="5" a="1"/>
  <c r="F47" i="5" s="1"/>
  <c r="E37" i="5" a="1"/>
  <c r="F37" i="5" s="1"/>
  <c r="E31" i="5" a="1"/>
  <c r="F31" i="5" s="1"/>
  <c r="E22" i="5" a="1"/>
  <c r="F22" i="5" s="1"/>
  <c r="E15" i="5" a="1"/>
  <c r="F15" i="5" s="1"/>
  <c r="E8" i="5" a="1"/>
  <c r="F8" i="5" s="1"/>
  <c r="E49" i="5" a="1"/>
  <c r="F49" i="5" s="1"/>
  <c r="E45" i="5" a="1"/>
  <c r="F45" i="5" s="1"/>
  <c r="E39" i="5" a="1"/>
  <c r="F39" i="5" s="1"/>
  <c r="E36" i="5" a="1"/>
  <c r="F36" i="5" s="1"/>
  <c r="E27" i="5" a="1"/>
  <c r="F27" i="5" s="1"/>
  <c r="E23" i="5" a="1"/>
  <c r="F23" i="5" s="1"/>
  <c r="E16" i="5" a="1"/>
  <c r="F16" i="5" s="1"/>
  <c r="E12" i="5" a="1"/>
  <c r="F12" i="5" s="1"/>
  <c r="E9" i="5" a="1"/>
  <c r="F9" i="5" s="1"/>
  <c r="E52" i="5" a="1"/>
  <c r="F52" i="5" s="1"/>
  <c r="E48" i="5" a="1"/>
  <c r="F48" i="5" s="1"/>
  <c r="E38" i="5" a="1"/>
  <c r="F38" i="5" s="1"/>
  <c r="E35" i="5" a="1"/>
  <c r="F35" i="5" s="1"/>
  <c r="E32" i="5" a="1"/>
  <c r="F32" i="5" s="1"/>
  <c r="E28" i="5" a="1"/>
  <c r="F28" i="5" s="1"/>
  <c r="E17" i="5" a="1"/>
  <c r="F17" i="5" s="1"/>
  <c r="E13" i="5" a="1"/>
  <c r="F13" i="5" s="1"/>
  <c r="E30" i="5" l="1" a="1"/>
  <c r="F30" i="5" s="1"/>
  <c r="E62" i="5" a="1"/>
  <c r="F62" i="5" s="1"/>
  <c r="E42" i="5" a="1"/>
  <c r="F42" i="5" s="1"/>
  <c r="E6" i="5" l="1" a="1"/>
  <c r="E11" i="5" l="1" a="1"/>
  <c r="E7" i="5" a="1"/>
  <c r="E10" i="5" a="1"/>
  <c r="E14" i="5" a="1"/>
  <c r="E18" i="5" a="1"/>
  <c r="E19" i="5" a="1"/>
  <c r="E20" i="5" a="1"/>
  <c r="E21" i="5" a="1"/>
  <c r="E24" i="5" a="1"/>
  <c r="E25" i="5" a="1"/>
  <c r="E26" i="5" a="1"/>
  <c r="E29" i="5" a="1"/>
  <c r="E33" i="5" a="1"/>
  <c r="E34" i="5" a="1"/>
  <c r="E40" i="5" a="1"/>
  <c r="E41" i="5" a="1"/>
  <c r="E43" i="5" a="1"/>
  <c r="E44" i="5" a="1"/>
  <c r="E46" i="5" a="1"/>
  <c r="E50" i="5" a="1"/>
  <c r="E53" i="5" a="1"/>
  <c r="E54" i="5" a="1"/>
  <c r="E55" i="5" a="1"/>
  <c r="E57" i="5" a="1"/>
  <c r="E58" i="5" a="1"/>
  <c r="E61" i="5" a="1"/>
  <c r="F6" i="5" l="1"/>
  <c r="F7" i="5"/>
  <c r="F10" i="5"/>
  <c r="F11" i="5"/>
  <c r="F14" i="5"/>
  <c r="F18" i="5"/>
  <c r="F19" i="5"/>
  <c r="F20" i="5"/>
  <c r="F21" i="5"/>
  <c r="F24" i="5"/>
  <c r="F25" i="5"/>
  <c r="F26" i="5"/>
  <c r="F29" i="5"/>
  <c r="F33" i="5"/>
  <c r="F34" i="5"/>
  <c r="F40" i="5"/>
  <c r="F41" i="5"/>
  <c r="F43" i="5"/>
  <c r="F44" i="5"/>
  <c r="F46" i="5"/>
  <c r="F50" i="5"/>
  <c r="F53" i="5"/>
  <c r="F54" i="5"/>
  <c r="F55" i="5"/>
  <c r="F57" i="5"/>
  <c r="F58" i="5"/>
  <c r="F6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FC6EB8-CF8D-44F9-AE20-9F62CA69B1F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0E002A4-BC41-4D2E-90E7-8EBEF7EB9120}" name="WorksheetConnection_Controle de Estoque Serenatto Café e Bistrô.xlsx!TB_Entradas" type="102" refreshedVersion="8" minRefreshableVersion="5">
    <extLst>
      <ext xmlns:x15="http://schemas.microsoft.com/office/spreadsheetml/2010/11/main" uri="{DE250136-89BD-433C-8126-D09CA5730AF9}">
        <x15:connection id="TB_Entradas">
          <x15:rangePr sourceName="_xlcn.WorksheetConnection_ControledeEstoqueSerenattoCaféeBistrô.xlsxTB_Entradas1"/>
        </x15:connection>
      </ext>
    </extLst>
  </connection>
  <connection id="3" xr16:uid="{791A3284-2EDF-4FE4-9D44-F28E2AEC5ACF}" name="WorksheetConnection_Controle de Estoque Serenatto Café e Bistrô.xlsx!TB_Fornecedor" type="102" refreshedVersion="8" minRefreshableVersion="5">
    <extLst>
      <ext xmlns:x15="http://schemas.microsoft.com/office/spreadsheetml/2010/11/main" uri="{DE250136-89BD-433C-8126-D09CA5730AF9}">
        <x15:connection id="TB_Fornecedor">
          <x15:rangePr sourceName="_xlcn.WorksheetConnection_ControledeEstoqueSerenattoCaféeBistrô.xlsxTB_Fornecedor1"/>
        </x15:connection>
      </ext>
    </extLst>
  </connection>
  <connection id="4" xr16:uid="{0737F4CB-CD33-479E-A878-02F729F35510}" name="WorksheetConnection_Controle de Estoque Serenatto Café e Bistrô.xlsx!TB_Produtos" type="102" refreshedVersion="8" minRefreshableVersion="5">
    <extLst>
      <ext xmlns:x15="http://schemas.microsoft.com/office/spreadsheetml/2010/11/main" uri="{DE250136-89BD-433C-8126-D09CA5730AF9}">
        <x15:connection id="TB_Produtos">
          <x15:rangePr sourceName="_xlcn.WorksheetConnection_ControledeEstoqueSerenattoCaféeBistrô.xlsxTB_Produto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<sst xmlns="http://schemas.openxmlformats.org/spreadsheetml/2006/main" count="236" uniqueCount="86">
  <si>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</si>
  <si>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</si>
  <si>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</si>
  <si>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</si>
  <si>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</si>
  <si>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</si>
  <si>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</si>
  <si>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</si>
  <si>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</si>
  <si>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</si>
  <si>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</si>
  <si>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</si>
  <si>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</si>
  <si>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</si>
  <si>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</si>
  <si>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</si>
  <si>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</si>
  <si>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</si>
  <si>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</si>
  <si>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</si>
  <si>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</si>
  <si>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</si>
  <si>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</si>
  <si>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</si>
  <si>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</si>
  <si>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</si>
  <si>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</si>
  <si>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</si>
  <si>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</si>
  <si>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</si>
  <si>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</si>
  <si>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</si>
  <si>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</si>
  <si>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</si>
  <si>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</si>
  <si>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</si>
  <si>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</si>
  <si>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</si>
  <si>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</si>
  <si>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</si>
  <si>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</si>
  <si>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</si>
  <si>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</si>
  <si>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</si>
  <si>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</si>
  <si>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</si>
  <si>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</si>
  <si>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</si>
  <si>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</si>
  <si>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</si>
  <si>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</si>
  <si>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</si>
  <si>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</si>
  <si>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</si>
  <si>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</si>
  <si>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</si>
  <si>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</si>
  <si>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</si>
  <si>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</si>
  <si>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</si>
  <si>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</si>
  <si>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</si>
  <si>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</si>
  <si>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</si>
  <si>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Controle de Saídas</t>
  </si>
  <si>
    <t>Quantidade Vendida</t>
  </si>
  <si>
    <t>Valor de Venda</t>
  </si>
  <si>
    <t>Rótulos de Linha</t>
  </si>
  <si>
    <t>Total Geral</t>
  </si>
  <si>
    <t>Água</t>
  </si>
  <si>
    <t>Código</t>
  </si>
  <si>
    <t>Soma de Quantidade Comprada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</si>
  <si>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</si>
  <si>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</si>
  <si>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</si>
  <si>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</si>
  <si>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</si>
  <si>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</si>
  <si>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</si>
  <si>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</si>
  <si>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</si>
  <si>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</si>
  <si>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</si>
  <si>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</si>
  <si>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</si>
  <si>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Custo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</si>
</sst>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Barlow"/>
    </font>
    <font>
      <b/>
      <sz val="24"/>
      <color theme="0"/>
      <name val="Barlow ExtraBold"/>
    </font>
    <font>
      <b/>
      <sz val="11"/>
      <color rgb="FF002060"/>
      <name val="Calibri"/>
      <family val="2"/>
      <scheme val="minor"/>
    </font>
    <font>
      <sz val="11"/>
      <color rgb="FF002060"/>
      <name val="Barlow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0" fontId="0" fillId="4" borderId="0" xfId="0" applyFill="1"/>
    <xf numFmtId="44" fontId="0" fillId="4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0" fontId="7" fillId="2" borderId="0" xfId="0" applyFont="1" applyFill="1" applyAlignment="1">
      <alignment vertical="center"/>
    </xf>
    <xf numFmtId="44" fontId="0" fillId="2" borderId="0" xfId="1" applyFont="1" applyFill="1" applyAlignment="1"/>
    <xf numFmtId="14" fontId="4" fillId="3" borderId="0" xfId="0" applyNumberFormat="1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1" applyNumberFormat="1" applyFont="1" applyFill="1" applyBorder="1" applyAlignment="1">
      <alignment horizontal="center"/>
    </xf>
    <xf numFmtId="164" fontId="9" fillId="0" borderId="0" xfId="0" applyNumberFormat="1" applyFont="1"/>
    <xf numFmtId="14" fontId="6" fillId="0" borderId="0" xfId="0" applyNumberFormat="1" applyFont="1" applyAlignment="1">
      <alignment horizontal="right"/>
    </xf>
    <xf numFmtId="0" fontId="6" fillId="0" borderId="0" xfId="1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64" fontId="9" fillId="0" borderId="0" xfId="1" applyNumberFormat="1" applyFont="1"/>
    <xf numFmtId="0" fontId="5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NumberFormat="1"/>
    <xf numFmtId="44" fontId="0" fillId="0" borderId="0" xfId="0" applyNumberFormat="1"/>
  </cellXfs>
  <cellStyles count="3">
    <cellStyle name="Hyperlink" xfId="2" xr:uid="{00000000-000B-0000-0000-000008000000}"/>
    <cellStyle name="Moeda" xfId="1" builtinId="4"/>
    <cellStyle name="Normal" xfId="0" builtinId="0"/>
  </cellStyles>
  <dxfs count="29"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28"/>
    </tableStyle>
  </tableStyles>
  <colors>
    <mruColors>
      <color rgb="FFB39563"/>
      <color rgb="FF313829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352425</xdr:colOff>
      <xdr:row>2</xdr:row>
      <xdr:rowOff>19050</xdr:rowOff>
    </xdr:from>
    <xdr:to>
      <xdr:col>17</xdr:col>
      <xdr:colOff>352425</xdr:colOff>
      <xdr:row>15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ata (Mês)">
              <a:extLst>
                <a:ext uri="{FF2B5EF4-FFF2-40B4-BE49-F238E27FC236}">
                  <a16:creationId xmlns:a16="http://schemas.microsoft.com/office/drawing/2014/main" id="{495A1CA1-9AAA-8D22-FE5E-95EB109894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63600" y="400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1325831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3</xdr:col>
      <xdr:colOff>477658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3</xdr:col>
      <xdr:colOff>34811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1138895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6.806086226854" backgroundQuery="1" createdVersion="8" refreshedVersion="8" minRefreshableVersion="3" recordCount="0" supportSubquery="1" supportAdvancedDrill="1" xr:uid="{8CAC341F-BD51-42CD-A237-D42333959D20}">
  <cacheSource type="external" connectionId="1"/>
  <cacheFields count="5">
    <cacheField name="[TB_Produtos].[Produto].[Produto]" caption="Produto" numFmtId="0" hierarchy="12" level="1">
      <sharedItems count="11">
        <s v="Água"/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Measures].[Soma de Quantidade Comprada]" caption="Soma de Quantidade Comprada" numFmtId="0" hierarchy="22" level="32767"/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TB_Entradas].[Data].[Data]" caption="Data" numFmtId="0" level="1">
      <sharedItems containsSemiMixedTypes="0" containsNonDate="0" containsString="0"/>
    </cacheField>
    <cacheField name="[TB_Fornecedor].[Empresa].[Empresa]" caption="Empresa" numFmtId="0" hierarchy="7" level="1">
      <sharedItems count="4">
        <s v="Distribuídora KS"/>
        <s v="Mercado Express"/>
        <s v="Salgados Gran"/>
        <s v="Frigorífico Z"/>
      </sharedItems>
    </cacheField>
  </cacheFields>
  <cacheHierarchies count="27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3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2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>
      <fieldsUsage count="2">
        <fieldUsage x="-1"/>
        <fieldUsage x="4"/>
      </fieldsUsage>
    </cacheHierarchy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</dimensions>
  <measureGroups count="3">
    <measureGroup name="TB_Entradas" caption="TB_Entradas"/>
    <measureGroup name="TB_Fornecedor" caption="TB_Fornecedor"/>
    <measureGroup name="TB_Produtos" caption="TB_Produto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6.806088541663" backgroundQuery="1" createdVersion="8" refreshedVersion="8" minRefreshableVersion="3" recordCount="0" supportSubquery="1" supportAdvancedDrill="1" xr:uid="{1B91B21F-91CA-4CC1-88F7-36EFF3C1ED63}">
  <cacheSource type="external" connectionId="1"/>
  <cacheFields count="3">
    <cacheField name="[Measures].[Soma de Quantidade Comprada]" caption="Soma de Quantidade Comprada" numFmtId="0" hierarchy="22" level="32767"/>
    <cacheField name="[TB_Fornecedor].[Empresa].[Empresa]" caption="Empresa" numFmtId="0" hierarchy="7" level="1">
      <sharedItems count="4">
        <s v="Distribuídora KS"/>
        <s v="Frigorífico Z"/>
        <s v="Mercado Express"/>
        <s v="Salgados Gran"/>
      </sharedItems>
    </cacheField>
    <cacheField name="[TB_Produtos].[Produto].[Produto]" caption="Produto" numFmtId="0" hierarchy="12" level="1">
      <sharedItems count="11">
        <s v="Água"/>
        <s v="Cerveja"/>
        <s v="Refrigerante"/>
        <s v="Frango"/>
        <s v="Hamburguer"/>
        <s v="Café"/>
        <s v="Chocolate Quente"/>
        <s v="Mini Pizza"/>
        <s v="Suco de Laranja"/>
        <s v="Coxinha"/>
        <s v="Pão de Queijo"/>
      </sharedItems>
    </cacheField>
  </cacheFields>
  <cacheHierarchies count="27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>
      <fieldsUsage count="2">
        <fieldUsage x="-1"/>
        <fieldUsage x="1"/>
      </fieldsUsage>
    </cacheHierarchy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2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</dimensions>
  <measureGroups count="3">
    <measureGroup name="TB_Entradas" caption="TB_Entradas"/>
    <measureGroup name="TB_Fornecedor" caption="TB_Fornecedor"/>
    <measureGroup name="TB_Produtos" caption="TB_Produto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6.809349189818" backgroundQuery="1" createdVersion="8" refreshedVersion="8" minRefreshableVersion="3" recordCount="0" supportSubquery="1" supportAdvancedDrill="1" xr:uid="{8FC97824-F7E9-4C25-A03A-9378E92F9E20}">
  <cacheSource type="external" connectionId="1"/>
  <cacheFields count="3">
    <cacheField name="[TB_Produtos].[Produto].[Produto]" caption="Produto" numFmtId="0" hierarchy="12" level="1">
      <sharedItems count="11">
        <s v="Água"/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Custo Compra]" caption="Soma de Custo Compra" numFmtId="0" hierarchy="26" level="32767"/>
  </cacheFields>
  <cacheHierarchies count="27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2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2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2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1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2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2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2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2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2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2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2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2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2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2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2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</dimensions>
  <measureGroups count="3">
    <measureGroup name="TB_Entradas" caption="TB_Entradas"/>
    <measureGroup name="TB_Fornecedor" caption="TB_Fornecedor"/>
    <measureGroup name="TB_Produtos" caption="TB_Produto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6.808126388889" backgroundQuery="1" createdVersion="3" refreshedVersion="8" minRefreshableVersion="3" recordCount="0" supportSubquery="1" supportAdvancedDrill="1" xr:uid="{6DB2C86B-D226-4DC2-9097-8C79D5DF532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891162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EB544-1264-465E-8103-01FC17D595A4}" name="Tabela dinâmica1" cacheId="96" applyNumberFormats="0" applyBorderFormats="0" applyFontFormats="0" applyPatternFormats="0" applyAlignmentFormats="0" applyWidthHeightFormats="1" dataCaption="Valores" tag="ab1b9f5a-5f81-4cf6-91a4-d36e277a7d34" updatedVersion="8" minRefreshableVersion="3" useAutoFormatting="1" subtotalHiddenItems="1" itemPrintTitles="1" createdVersion="8" indent="0" outline="1" outlineData="1" multipleFieldFilters="0">
  <location ref="A3:B1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1"/>
    <field x="2"/>
  </rowFields>
  <rowItems count="16">
    <i>
      <x/>
    </i>
    <i r="1">
      <x/>
    </i>
    <i r="1">
      <x v="1"/>
    </i>
    <i r="1">
      <x v="2"/>
    </i>
    <i>
      <x v="1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t="grand">
      <x/>
    </i>
  </rowItems>
  <colItems count="1">
    <i/>
  </colItems>
  <dataFields count="1">
    <dataField name="Soma de Quantidade Comprada" fld="0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84177-B6F8-4374-B6E4-07B4CA145FA1}" name="Tabela dinâmica1" cacheId="93" applyNumberFormats="0" applyBorderFormats="0" applyFontFormats="0" applyPatternFormats="0" applyAlignmentFormats="0" applyWidthHeightFormats="1" dataCaption="Valores" tag="059ddce2-85c5-4b25-8b01-37af06a735b5" updatedVersion="8" minRefreshableVersion="3" itemPrintTitles="1" createdVersion="8" indent="0" outline="1" outlineData="1" multipleFieldFilters="0">
  <location ref="A3:N28" firstHeaderRow="1" firstDataRow="3" firstDataCol="1"/>
  <pivotFields count="5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4"/>
  </rowFields>
  <rowItems count="23">
    <i>
      <x/>
    </i>
    <i r="1">
      <x/>
    </i>
    <i>
      <x v="1"/>
    </i>
    <i r="1">
      <x v="1"/>
    </i>
    <i>
      <x v="2"/>
    </i>
    <i r="1">
      <x/>
    </i>
    <i>
      <x v="3"/>
    </i>
    <i r="1">
      <x v="1"/>
    </i>
    <i>
      <x v="4"/>
    </i>
    <i r="1">
      <x v="2"/>
    </i>
    <i>
      <x v="5"/>
    </i>
    <i r="1">
      <x v="3"/>
    </i>
    <i>
      <x v="6"/>
    </i>
    <i r="1">
      <x v="3"/>
    </i>
    <i>
      <x v="7"/>
    </i>
    <i r="1">
      <x v="1"/>
    </i>
    <i>
      <x v="8"/>
    </i>
    <i r="1">
      <x v="2"/>
    </i>
    <i>
      <x v="9"/>
    </i>
    <i r="1">
      <x/>
    </i>
    <i>
      <x v="10"/>
    </i>
    <i r="1">
      <x v="1"/>
    </i>
    <i t="grand">
      <x/>
    </i>
  </rowItems>
  <colFields count="2">
    <field x="2"/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Quantidade Comprada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7"/>
  </rowHierarchiesUsage>
  <colHierarchiesUsage count="2">
    <colHierarchyUsage hierarchyUsage="4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Entrada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88511-274D-4904-8713-2321BFD6D591}" name="Tabela dinâmica2" cacheId="150" applyNumberFormats="0" applyBorderFormats="0" applyFontFormats="0" applyPatternFormats="0" applyAlignmentFormats="0" applyWidthHeightFormats="1" dataCaption="Valores" tag="38a3794d-02a3-4f6a-b158-3d8a96143a2f" updatedVersion="8" minRefreshableVersion="3" colGrandTotals="0" itemPrintTitles="1" createdVersion="8" indent="0" outline="1" outlineData="1" multipleFieldFilters="0">
  <location ref="A3:M16" firstHeaderRow="1" firstDataRow="2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oma de Custo Compra" fld="2" baseField="0" baseItem="1" numFmtId="44"/>
  </dataField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18" showRowHeaders="1" showColHeaders="1" showRowStripes="0" showColStripes="0" showLastColumn="1"/>
  <rowHierarchiesUsage count="1">
    <rowHierarchyUsage hierarchyUsage="1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C368FFDD-2C6A-41C1-8C65-BA2B3C4116F5}" sourceName="[TB_Entradas].[Data (Mês)]">
  <pivotTables>
    <pivotTable tabId="14" name="Tabela dinâmica2"/>
  </pivotTables>
  <data>
    <olap pivotCacheId="1389116257">
      <levels count="2">
        <level uniqueName="[TB_Entradas].[Data (Mês)].[(All)]" sourceCaption="(All)" count="0"/>
        <level uniqueName="[TB_Entradas].[Data (Mês)].[Data (Mês)]" sourceCaption="Data (Mês)" count="12">
          <ranges>
            <range startItem="0">
              <i n="[TB_Entradas].[Data (Mês)].&amp;[jan]" c="jan"/>
              <i n="[TB_Entradas].[Data (Mês)].&amp;[fev]" c="fev"/>
              <i n="[TB_Entradas].[Data (Mês)].&amp;[mar]" c="mar"/>
              <i n="[TB_Entradas].[Data (Mês)].&amp;[abr]" c="abr"/>
              <i n="[TB_Entradas].[Data (Mês)].&amp;[mai]" c="mai"/>
              <i n="[TB_Entradas].[Data (Mês)].&amp;[jun]" c="jun"/>
              <i n="[TB_Entradas].[Data (Mês)].&amp;[jul]" c="jul"/>
              <i n="[TB_Entradas].[Data (Mês)].&amp;[ago]" c="ago"/>
              <i n="[TB_Entradas].[Data (Mês)].&amp;[set]" c="set"/>
              <i n="[TB_Entradas].[Data (Mês)].&amp;[out]" c="out"/>
              <i n="[TB_Entradas].[Data (Mês)].&amp;[nov]" c="nov"/>
              <i n="[TB_Entradas].[Data (Mês)].&amp;[dez]" c="dez"/>
            </range>
          </ranges>
        </level>
      </levels>
      <selections count="1">
        <selection n="[TB_Entradas].[Data (Mê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Mês)" xr10:uid="{E505BE00-2192-4F8D-B20E-8C5AFEF7D170}" cache="SegmentaçãodeDados_Data__Mês" caption="Data (Mês)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G31" totalsRowShown="0" headerRowDxfId="27" dataDxfId="26">
  <autoFilter ref="B4:G31" xr:uid="{BF78AD2E-2996-4673-93A5-FBABBADBFCAD}"/>
  <tableColumns count="6">
    <tableColumn id="6" xr3:uid="{89619A99-9F64-4B62-9717-C624D5416E92}" name="Código" dataDxfId="25"/>
    <tableColumn id="1" xr3:uid="{377E90C8-0A45-4737-AC04-4C7CDB0AEAE2}" name="Produto" dataDxfId="24"/>
    <tableColumn id="2" xr3:uid="{4EB804C9-8A27-4783-BD36-FB9E656AE6E9}" name="Unidade de Medida" dataDxfId="23"/>
    <tableColumn id="3" xr3:uid="{A21D3E1F-EEC0-4E4A-BE5D-F1FC07B6F8D6}" name="Estoque Mínimo" dataDxfId="22"/>
    <tableColumn id="4" xr3:uid="{56ACBABD-1CFA-40E7-BC2B-DBA4120CD2CF}" name="Custo Unitário" dataDxfId="21" dataCellStyle="Moeda"/>
    <tableColumn id="5" xr3:uid="{96CD541B-A2C4-4577-95D7-DC8135FFC00B}" name="Preço Unitário" dataDxfId="20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F9" totalsRowShown="0" headerRowDxfId="19" dataDxfId="18">
  <autoFilter ref="B5:F9" xr:uid="{3FE8CB29-2D3F-4475-8076-85314FAA5C42}"/>
  <tableColumns count="5">
    <tableColumn id="5" xr3:uid="{5FC9FE8F-4F08-40A4-AA09-0975F9E316A7}" name="Código" dataDxfId="17"/>
    <tableColumn id="1" xr3:uid="{5957F8AA-CE75-4BE8-A28F-E63751C6F321}" name="Empresa" dataDxfId="16"/>
    <tableColumn id="2" xr3:uid="{714E240A-6400-4353-BAFA-98056A75BEB8}" name="Telefone" dataDxfId="15"/>
    <tableColumn id="3" xr3:uid="{83F2A368-4F63-4459-A8E0-C24478833107}" name="Responsável" dataDxfId="14"/>
    <tableColumn id="4" xr3:uid="{B26AA4D1-77D3-4E4E-8E26-1DD67159E60C}" name="E-mail" dataDxfId="13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E59" totalsRowShown="0" headerRowDxfId="12" dataDxfId="11">
  <autoFilter ref="B5:E59" xr:uid="{96889516-6D39-4469-A223-4B0F7168EF79}"/>
  <tableColumns count="4">
    <tableColumn id="1" xr3:uid="{701AD28A-1CD8-44C9-BCEB-958AEB0E91DD}" name="Data" dataDxfId="10"/>
    <tableColumn id="2" xr3:uid="{F247CE0B-0EF4-4B75-A4B5-2205D8CF8B59}" name="Produto" dataDxfId="9"/>
    <tableColumn id="3" xr3:uid="{1A5D1499-6E9D-496F-95A9-F290D6FBA0EA}" name="Fornecedor" dataDxfId="8"/>
    <tableColumn id="4" xr3:uid="{8E9FF413-1C84-4664-AA13-4DDF2E3D7D9D}" name="Quantidade Comprada" dataDxfId="7" dataCellStyle="Moeda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F62" totalsRowShown="0" headerRowDxfId="6" dataDxfId="5">
  <autoFilter ref="B5:F62" xr:uid="{586A585A-A0FE-42A4-967D-5B04DAD1156E}"/>
  <tableColumns count="5">
    <tableColumn id="1" xr3:uid="{B4F598A6-4052-4062-950B-44B21BB57036}" name="Data" dataDxfId="4"/>
    <tableColumn id="2" xr3:uid="{370468ED-B740-49DE-AB89-5354284A2ABF}" name="Produto" dataDxfId="3"/>
    <tableColumn id="3" xr3:uid="{BE1ABBF0-3358-4840-B3C0-322DEDC290E1}" name="Quantidade Vendida" dataDxfId="2"/>
    <tableColumn id="4" xr3:uid="{561D4B7F-EDFE-4DF1-8FB5-D94F09D99A20}" name="Preço Unitário" dataDxfId="1" dataCellStyle="Moeda">
      <calculatedColumnFormula array="1">_xlfn.XLOOKUP(TB_Saídas[[#This Row],[Produto]],TB_Produtos[[#All],[Produto]],TB_Produtos[[#All],[Preço Unitário]],"Produto não Encontrado",0,1)</calculatedColumnFormula>
    </tableColumn>
    <tableColumn id="5" xr3:uid="{E2ABB07D-4494-43CF-A1D0-BB7188F908E0}" name="Valor de Venda" dataDxfId="0">
      <calculatedColumnFormula>IFERROR(TB_Saídas[[#This Row],[Quantidade Vendida]]*TB_Saídas[[#This Row],[Preço Unitário]],"Não foi possível calcular")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3.xml"/><Relationship Id="rId4" Type="http://schemas.openxmlformats.org/officeDocument/2006/relationships/hyperlink" Target="mailto:claudia@salgadosgran.com.b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A2B6-087C-4506-B207-8C283D3C2991}">
  <dimension ref="A3:B19"/>
  <sheetViews>
    <sheetView topLeftCell="A2" zoomScale="130" zoomScaleNormal="130" workbookViewId="0">
      <selection activeCell="B3" sqref="B3"/>
    </sheetView>
  </sheetViews>
  <sheetFormatPr defaultRowHeight="15" x14ac:dyDescent="0.25"/>
  <cols>
    <col min="1" max="1" width="21" bestFit="1" customWidth="1"/>
    <col min="2" max="2" width="29.42578125" bestFit="1" customWidth="1"/>
    <col min="3" max="3" width="10.7109375" bestFit="1" customWidth="1"/>
    <col min="4" max="13" width="4.28515625" bestFit="1" customWidth="1"/>
    <col min="14" max="14" width="10.7109375" bestFit="1" customWidth="1"/>
  </cols>
  <sheetData>
    <row r="3" spans="1:2" x14ac:dyDescent="0.25">
      <c r="A3" s="26" t="s">
        <v>67</v>
      </c>
      <c r="B3" t="s">
        <v>71</v>
      </c>
    </row>
    <row r="4" spans="1:2" x14ac:dyDescent="0.25">
      <c r="A4" s="27" t="s">
        <v>51</v>
      </c>
      <c r="B4" s="32"/>
    </row>
    <row r="5" spans="1:2" x14ac:dyDescent="0.25">
      <c r="A5" s="28" t="s">
        <v>69</v>
      </c>
      <c r="B5" s="32">
        <v>100</v>
      </c>
    </row>
    <row r="6" spans="1:2" x14ac:dyDescent="0.25">
      <c r="A6" s="28" t="s">
        <v>31</v>
      </c>
      <c r="B6" s="32">
        <v>50</v>
      </c>
    </row>
    <row r="7" spans="1:2" x14ac:dyDescent="0.25">
      <c r="A7" s="28" t="s">
        <v>36</v>
      </c>
      <c r="B7" s="32">
        <v>350</v>
      </c>
    </row>
    <row r="8" spans="1:2" x14ac:dyDescent="0.25">
      <c r="A8" s="27" t="s">
        <v>47</v>
      </c>
      <c r="B8" s="32"/>
    </row>
    <row r="9" spans="1:2" x14ac:dyDescent="0.25">
      <c r="A9" s="28" t="s">
        <v>28</v>
      </c>
      <c r="B9" s="32">
        <v>50</v>
      </c>
    </row>
    <row r="10" spans="1:2" x14ac:dyDescent="0.25">
      <c r="A10" s="28" t="s">
        <v>27</v>
      </c>
      <c r="B10" s="32">
        <v>60</v>
      </c>
    </row>
    <row r="11" spans="1:2" x14ac:dyDescent="0.25">
      <c r="A11" s="27" t="s">
        <v>43</v>
      </c>
      <c r="B11" s="32"/>
    </row>
    <row r="12" spans="1:2" x14ac:dyDescent="0.25">
      <c r="A12" s="28" t="s">
        <v>6</v>
      </c>
      <c r="B12" s="32">
        <v>1635</v>
      </c>
    </row>
    <row r="13" spans="1:2" x14ac:dyDescent="0.25">
      <c r="A13" s="28" t="s">
        <v>19</v>
      </c>
      <c r="B13" s="32">
        <v>750</v>
      </c>
    </row>
    <row r="14" spans="1:2" x14ac:dyDescent="0.25">
      <c r="A14" s="28" t="s">
        <v>23</v>
      </c>
      <c r="B14" s="32">
        <v>100</v>
      </c>
    </row>
    <row r="15" spans="1:2" x14ac:dyDescent="0.25">
      <c r="A15" s="28" t="s">
        <v>26</v>
      </c>
      <c r="B15" s="32">
        <v>100</v>
      </c>
    </row>
    <row r="16" spans="1:2" x14ac:dyDescent="0.25">
      <c r="A16" s="27" t="s">
        <v>56</v>
      </c>
      <c r="B16" s="32"/>
    </row>
    <row r="17" spans="1:2" x14ac:dyDescent="0.25">
      <c r="A17" s="28" t="s">
        <v>10</v>
      </c>
      <c r="B17" s="32">
        <v>550</v>
      </c>
    </row>
    <row r="18" spans="1:2" x14ac:dyDescent="0.25">
      <c r="A18" s="28" t="s">
        <v>25</v>
      </c>
      <c r="B18" s="32">
        <v>620</v>
      </c>
    </row>
    <row r="19" spans="1:2" x14ac:dyDescent="0.25">
      <c r="A19" s="27" t="s">
        <v>68</v>
      </c>
      <c r="B19" s="32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EB90-90D7-455E-8B29-91C5C28F4846}">
  <dimension ref="A3:N28"/>
  <sheetViews>
    <sheetView workbookViewId="0">
      <selection activeCell="P20" sqref="P20"/>
    </sheetView>
  </sheetViews>
  <sheetFormatPr defaultRowHeight="15" x14ac:dyDescent="0.25"/>
  <cols>
    <col min="1" max="1" width="29.42578125" bestFit="1" customWidth="1"/>
    <col min="2" max="2" width="17.7109375" customWidth="1"/>
    <col min="3" max="3" width="8.85546875" customWidth="1"/>
    <col min="4" max="4" width="6.28515625" bestFit="1" customWidth="1"/>
    <col min="5" max="5" width="5.7109375" bestFit="1" customWidth="1"/>
    <col min="6" max="6" width="6.140625" bestFit="1" customWidth="1"/>
    <col min="7" max="7" width="5.7109375" bestFit="1" customWidth="1"/>
    <col min="8" max="8" width="5.140625" bestFit="1" customWidth="1"/>
    <col min="9" max="9" width="6" bestFit="1" customWidth="1"/>
    <col min="10" max="10" width="5.5703125" bestFit="1" customWidth="1"/>
    <col min="11" max="11" width="5.85546875" bestFit="1" customWidth="1"/>
    <col min="12" max="12" width="6.140625" bestFit="1" customWidth="1"/>
    <col min="13" max="13" width="6" bestFit="1" customWidth="1"/>
    <col min="14" max="53" width="10.7109375" bestFit="1" customWidth="1"/>
  </cols>
  <sheetData>
    <row r="3" spans="1:14" x14ac:dyDescent="0.25">
      <c r="A3" s="26" t="s">
        <v>71</v>
      </c>
      <c r="B3" s="26" t="s">
        <v>72</v>
      </c>
    </row>
    <row r="4" spans="1:14" x14ac:dyDescent="0.25"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68</v>
      </c>
    </row>
    <row r="5" spans="1:14" x14ac:dyDescent="0.25">
      <c r="A5" s="26" t="s">
        <v>67</v>
      </c>
    </row>
    <row r="6" spans="1:14" x14ac:dyDescent="0.25">
      <c r="A6" s="27" t="s">
        <v>69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28" t="s">
        <v>51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>
        <v>100</v>
      </c>
      <c r="M7" s="32"/>
      <c r="N7" s="32">
        <v>100</v>
      </c>
    </row>
    <row r="8" spans="1:14" x14ac:dyDescent="0.25">
      <c r="A8" s="27" t="s">
        <v>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 x14ac:dyDescent="0.25">
      <c r="A9" s="28" t="s">
        <v>43</v>
      </c>
      <c r="B9" s="32">
        <v>100</v>
      </c>
      <c r="C9" s="32">
        <v>125</v>
      </c>
      <c r="D9" s="32">
        <v>150</v>
      </c>
      <c r="E9" s="32">
        <v>150</v>
      </c>
      <c r="F9" s="32">
        <v>100</v>
      </c>
      <c r="G9" s="32">
        <v>150</v>
      </c>
      <c r="H9" s="32">
        <v>150</v>
      </c>
      <c r="I9" s="32">
        <v>150</v>
      </c>
      <c r="J9" s="32">
        <v>180</v>
      </c>
      <c r="K9" s="32">
        <v>100</v>
      </c>
      <c r="L9" s="32">
        <v>80</v>
      </c>
      <c r="M9" s="32">
        <v>200</v>
      </c>
      <c r="N9" s="32">
        <v>1635</v>
      </c>
    </row>
    <row r="10" spans="1:14" x14ac:dyDescent="0.25">
      <c r="A10" s="27" t="s">
        <v>31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x14ac:dyDescent="0.25">
      <c r="A11" s="28" t="s">
        <v>51</v>
      </c>
      <c r="B11" s="32"/>
      <c r="C11" s="32">
        <v>50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>
        <v>50</v>
      </c>
    </row>
    <row r="12" spans="1:14" x14ac:dyDescent="0.25">
      <c r="A12" s="27" t="s">
        <v>19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14" x14ac:dyDescent="0.25">
      <c r="A13" s="28" t="s">
        <v>43</v>
      </c>
      <c r="B13" s="32">
        <v>90</v>
      </c>
      <c r="C13" s="32">
        <v>80</v>
      </c>
      <c r="D13" s="32">
        <v>40</v>
      </c>
      <c r="E13" s="32">
        <v>60</v>
      </c>
      <c r="F13" s="32">
        <v>45</v>
      </c>
      <c r="G13" s="32">
        <v>115</v>
      </c>
      <c r="H13" s="32">
        <v>120</v>
      </c>
      <c r="I13" s="32">
        <v>35</v>
      </c>
      <c r="J13" s="32">
        <v>34</v>
      </c>
      <c r="K13" s="32">
        <v>46</v>
      </c>
      <c r="L13" s="32">
        <v>45</v>
      </c>
      <c r="M13" s="32">
        <v>40</v>
      </c>
      <c r="N13" s="32">
        <v>750</v>
      </c>
    </row>
    <row r="14" spans="1:14" x14ac:dyDescent="0.25">
      <c r="A14" s="27" t="s">
        <v>10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14" x14ac:dyDescent="0.25">
      <c r="A15" s="28" t="s">
        <v>56</v>
      </c>
      <c r="B15" s="32">
        <v>100</v>
      </c>
      <c r="C15" s="32">
        <v>100</v>
      </c>
      <c r="D15" s="32">
        <v>50</v>
      </c>
      <c r="E15" s="32">
        <v>50</v>
      </c>
      <c r="F15" s="32">
        <v>50</v>
      </c>
      <c r="G15" s="32">
        <v>45</v>
      </c>
      <c r="H15" s="32">
        <v>20</v>
      </c>
      <c r="I15" s="32">
        <v>30</v>
      </c>
      <c r="J15" s="32">
        <v>15</v>
      </c>
      <c r="K15" s="32">
        <v>55</v>
      </c>
      <c r="L15" s="32">
        <v>35</v>
      </c>
      <c r="M15" s="32"/>
      <c r="N15" s="32">
        <v>550</v>
      </c>
    </row>
    <row r="16" spans="1:14" x14ac:dyDescent="0.25">
      <c r="A16" s="27" t="s">
        <v>28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spans="1:14" x14ac:dyDescent="0.25">
      <c r="A17" s="28" t="s">
        <v>47</v>
      </c>
      <c r="B17" s="32"/>
      <c r="C17" s="32"/>
      <c r="D17" s="32"/>
      <c r="E17" s="32"/>
      <c r="F17" s="32"/>
      <c r="G17" s="32"/>
      <c r="H17" s="32"/>
      <c r="I17" s="32"/>
      <c r="J17" s="32">
        <v>50</v>
      </c>
      <c r="K17" s="32"/>
      <c r="L17" s="32"/>
      <c r="M17" s="32"/>
      <c r="N17" s="32">
        <v>50</v>
      </c>
    </row>
    <row r="18" spans="1:14" x14ac:dyDescent="0.25">
      <c r="A18" s="27" t="s">
        <v>27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1:14" x14ac:dyDescent="0.25">
      <c r="A19" s="28" t="s">
        <v>47</v>
      </c>
      <c r="B19" s="32"/>
      <c r="C19" s="32"/>
      <c r="D19" s="32"/>
      <c r="E19" s="32"/>
      <c r="F19" s="32">
        <v>60</v>
      </c>
      <c r="G19" s="32"/>
      <c r="H19" s="32"/>
      <c r="I19" s="32"/>
      <c r="J19" s="32"/>
      <c r="K19" s="32"/>
      <c r="L19" s="32"/>
      <c r="M19" s="32"/>
      <c r="N19" s="32">
        <v>60</v>
      </c>
    </row>
    <row r="20" spans="1:14" x14ac:dyDescent="0.25">
      <c r="A20" s="27" t="s">
        <v>23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 x14ac:dyDescent="0.25">
      <c r="A21" s="28" t="s">
        <v>43</v>
      </c>
      <c r="B21" s="32"/>
      <c r="C21" s="32"/>
      <c r="D21" s="32"/>
      <c r="E21" s="32"/>
      <c r="F21" s="32"/>
      <c r="G21" s="32"/>
      <c r="H21" s="32"/>
      <c r="I21" s="32">
        <v>100</v>
      </c>
      <c r="J21" s="32"/>
      <c r="K21" s="32"/>
      <c r="L21" s="32"/>
      <c r="M21" s="32"/>
      <c r="N21" s="32">
        <v>100</v>
      </c>
    </row>
    <row r="22" spans="1:14" x14ac:dyDescent="0.25">
      <c r="A22" s="27" t="s">
        <v>25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 x14ac:dyDescent="0.25">
      <c r="A23" s="28" t="s">
        <v>56</v>
      </c>
      <c r="B23" s="32">
        <v>100</v>
      </c>
      <c r="C23" s="32">
        <v>85</v>
      </c>
      <c r="D23" s="32">
        <v>50</v>
      </c>
      <c r="E23" s="32">
        <v>90</v>
      </c>
      <c r="F23" s="32">
        <v>30</v>
      </c>
      <c r="G23" s="32">
        <v>100</v>
      </c>
      <c r="H23" s="32">
        <v>60</v>
      </c>
      <c r="I23" s="32">
        <v>30</v>
      </c>
      <c r="J23" s="32">
        <v>20</v>
      </c>
      <c r="K23" s="32">
        <v>35</v>
      </c>
      <c r="L23" s="32">
        <v>20</v>
      </c>
      <c r="M23" s="32"/>
      <c r="N23" s="32">
        <v>620</v>
      </c>
    </row>
    <row r="24" spans="1:14" x14ac:dyDescent="0.25">
      <c r="A24" s="27" t="s">
        <v>36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4" x14ac:dyDescent="0.25">
      <c r="A25" s="28" t="s">
        <v>51</v>
      </c>
      <c r="B25" s="32"/>
      <c r="C25" s="32"/>
      <c r="D25" s="32">
        <v>250</v>
      </c>
      <c r="E25" s="32"/>
      <c r="F25" s="32"/>
      <c r="G25" s="32"/>
      <c r="H25" s="32"/>
      <c r="I25" s="32"/>
      <c r="J25" s="32">
        <v>100</v>
      </c>
      <c r="K25" s="32"/>
      <c r="L25" s="32"/>
      <c r="M25" s="32"/>
      <c r="N25" s="32">
        <v>350</v>
      </c>
    </row>
    <row r="26" spans="1:14" x14ac:dyDescent="0.25">
      <c r="A26" s="27" t="s">
        <v>26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x14ac:dyDescent="0.25">
      <c r="A27" s="28" t="s">
        <v>43</v>
      </c>
      <c r="B27" s="32"/>
      <c r="C27" s="32"/>
      <c r="D27" s="32">
        <v>100</v>
      </c>
      <c r="E27" s="32"/>
      <c r="F27" s="32"/>
      <c r="G27" s="32"/>
      <c r="H27" s="32"/>
      <c r="I27" s="32"/>
      <c r="J27" s="32"/>
      <c r="K27" s="32"/>
      <c r="L27" s="32"/>
      <c r="M27" s="32"/>
      <c r="N27" s="32">
        <v>100</v>
      </c>
    </row>
    <row r="28" spans="1:14" x14ac:dyDescent="0.25">
      <c r="A28" s="27" t="s">
        <v>68</v>
      </c>
      <c r="B28" s="32">
        <v>390</v>
      </c>
      <c r="C28" s="32">
        <v>440</v>
      </c>
      <c r="D28" s="32">
        <v>640</v>
      </c>
      <c r="E28" s="32">
        <v>350</v>
      </c>
      <c r="F28" s="32">
        <v>285</v>
      </c>
      <c r="G28" s="32">
        <v>410</v>
      </c>
      <c r="H28" s="32">
        <v>350</v>
      </c>
      <c r="I28" s="32">
        <v>345</v>
      </c>
      <c r="J28" s="32">
        <v>399</v>
      </c>
      <c r="K28" s="32">
        <v>236</v>
      </c>
      <c r="L28" s="32">
        <v>280</v>
      </c>
      <c r="M28" s="32">
        <v>240</v>
      </c>
      <c r="N28" s="32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1554-C816-4615-9DB0-81928F779608}">
  <dimension ref="A3:N16"/>
  <sheetViews>
    <sheetView tabSelected="1" workbookViewId="0">
      <selection activeCell="E9" sqref="E9"/>
    </sheetView>
  </sheetViews>
  <sheetFormatPr defaultRowHeight="15" x14ac:dyDescent="0.25"/>
  <cols>
    <col min="1" max="1" width="21.7109375" bestFit="1" customWidth="1"/>
    <col min="2" max="14" width="13.5703125" customWidth="1"/>
  </cols>
  <sheetData>
    <row r="3" spans="1:13" x14ac:dyDescent="0.25">
      <c r="A3" s="26" t="s">
        <v>85</v>
      </c>
      <c r="B3" s="26" t="s">
        <v>72</v>
      </c>
    </row>
    <row r="4" spans="1:13" x14ac:dyDescent="0.25">
      <c r="A4" s="26" t="s">
        <v>67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</row>
    <row r="5" spans="1:13" x14ac:dyDescent="0.25">
      <c r="A5" s="27" t="s">
        <v>69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>
        <v>25</v>
      </c>
      <c r="M5" s="33"/>
    </row>
    <row r="6" spans="1:13" x14ac:dyDescent="0.25">
      <c r="A6" s="27" t="s">
        <v>6</v>
      </c>
      <c r="B6" s="33">
        <v>200</v>
      </c>
      <c r="C6" s="33">
        <v>250</v>
      </c>
      <c r="D6" s="33">
        <v>300</v>
      </c>
      <c r="E6" s="33">
        <v>300</v>
      </c>
      <c r="F6" s="33">
        <v>200</v>
      </c>
      <c r="G6" s="33">
        <v>300</v>
      </c>
      <c r="H6" s="33">
        <v>300</v>
      </c>
      <c r="I6" s="33">
        <v>300</v>
      </c>
      <c r="J6" s="33">
        <v>360</v>
      </c>
      <c r="K6" s="33">
        <v>200</v>
      </c>
      <c r="L6" s="33">
        <v>160</v>
      </c>
      <c r="M6" s="33">
        <v>400</v>
      </c>
    </row>
    <row r="7" spans="1:13" x14ac:dyDescent="0.25">
      <c r="A7" s="27" t="s">
        <v>31</v>
      </c>
      <c r="B7" s="33"/>
      <c r="C7" s="33">
        <v>37.5</v>
      </c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 x14ac:dyDescent="0.25">
      <c r="A8" s="27" t="s">
        <v>19</v>
      </c>
      <c r="B8" s="33">
        <v>22.5</v>
      </c>
      <c r="C8" s="33">
        <v>20</v>
      </c>
      <c r="D8" s="33">
        <v>10</v>
      </c>
      <c r="E8" s="33">
        <v>15</v>
      </c>
      <c r="F8" s="33">
        <v>11.25</v>
      </c>
      <c r="G8" s="33">
        <v>28.75</v>
      </c>
      <c r="H8" s="33">
        <v>30</v>
      </c>
      <c r="I8" s="33">
        <v>8.75</v>
      </c>
      <c r="J8" s="33">
        <v>8.5</v>
      </c>
      <c r="K8" s="33">
        <v>11.5</v>
      </c>
      <c r="L8" s="33">
        <v>11.25</v>
      </c>
      <c r="M8" s="33">
        <v>10</v>
      </c>
    </row>
    <row r="9" spans="1:13" x14ac:dyDescent="0.25">
      <c r="A9" s="27" t="s">
        <v>10</v>
      </c>
      <c r="B9" s="33">
        <v>50</v>
      </c>
      <c r="C9" s="33">
        <v>50</v>
      </c>
      <c r="D9" s="33">
        <v>25</v>
      </c>
      <c r="E9" s="33">
        <v>25</v>
      </c>
      <c r="F9" s="33">
        <v>25</v>
      </c>
      <c r="G9" s="33">
        <v>22.5</v>
      </c>
      <c r="H9" s="33">
        <v>10</v>
      </c>
      <c r="I9" s="33">
        <v>15</v>
      </c>
      <c r="J9" s="33">
        <v>7.5</v>
      </c>
      <c r="K9" s="33">
        <v>27.5</v>
      </c>
      <c r="L9" s="33">
        <v>17.5</v>
      </c>
      <c r="M9" s="33"/>
    </row>
    <row r="10" spans="1:13" x14ac:dyDescent="0.25">
      <c r="A10" s="27" t="s">
        <v>28</v>
      </c>
      <c r="B10" s="33"/>
      <c r="C10" s="33"/>
      <c r="D10" s="33"/>
      <c r="E10" s="33"/>
      <c r="F10" s="33"/>
      <c r="G10" s="33"/>
      <c r="H10" s="33"/>
      <c r="I10" s="33"/>
      <c r="J10" s="33">
        <v>225</v>
      </c>
      <c r="K10" s="33"/>
      <c r="L10" s="33"/>
      <c r="M10" s="33"/>
    </row>
    <row r="11" spans="1:13" x14ac:dyDescent="0.25">
      <c r="A11" s="27" t="s">
        <v>27</v>
      </c>
      <c r="B11" s="33"/>
      <c r="C11" s="33"/>
      <c r="D11" s="33"/>
      <c r="E11" s="33"/>
      <c r="F11" s="33">
        <v>480</v>
      </c>
      <c r="G11" s="33"/>
      <c r="H11" s="33"/>
      <c r="I11" s="33"/>
      <c r="J11" s="33"/>
      <c r="K11" s="33"/>
      <c r="L11" s="33"/>
      <c r="M11" s="33"/>
    </row>
    <row r="12" spans="1:13" x14ac:dyDescent="0.25">
      <c r="A12" s="27" t="s">
        <v>23</v>
      </c>
      <c r="B12" s="33"/>
      <c r="C12" s="33"/>
      <c r="D12" s="33"/>
      <c r="E12" s="33"/>
      <c r="F12" s="33"/>
      <c r="G12" s="33"/>
      <c r="H12" s="33"/>
      <c r="I12" s="33">
        <v>100</v>
      </c>
      <c r="J12" s="33"/>
      <c r="K12" s="33"/>
      <c r="L12" s="33"/>
      <c r="M12" s="33"/>
    </row>
    <row r="13" spans="1:13" x14ac:dyDescent="0.25">
      <c r="A13" s="27" t="s">
        <v>25</v>
      </c>
      <c r="B13" s="33">
        <v>25</v>
      </c>
      <c r="C13" s="33">
        <v>21.25</v>
      </c>
      <c r="D13" s="33">
        <v>12.5</v>
      </c>
      <c r="E13" s="33">
        <v>22.5</v>
      </c>
      <c r="F13" s="33">
        <v>7.5</v>
      </c>
      <c r="G13" s="33">
        <v>25</v>
      </c>
      <c r="H13" s="33">
        <v>15</v>
      </c>
      <c r="I13" s="33">
        <v>7.5</v>
      </c>
      <c r="J13" s="33">
        <v>5</v>
      </c>
      <c r="K13" s="33">
        <v>8.75</v>
      </c>
      <c r="L13" s="33">
        <v>5</v>
      </c>
      <c r="M13" s="33"/>
    </row>
    <row r="14" spans="1:13" x14ac:dyDescent="0.25">
      <c r="A14" s="27" t="s">
        <v>36</v>
      </c>
      <c r="B14" s="33"/>
      <c r="C14" s="33"/>
      <c r="D14" s="33">
        <v>500</v>
      </c>
      <c r="E14" s="33"/>
      <c r="F14" s="33"/>
      <c r="G14" s="33"/>
      <c r="H14" s="33"/>
      <c r="I14" s="33"/>
      <c r="J14" s="33">
        <v>200</v>
      </c>
      <c r="K14" s="33"/>
      <c r="L14" s="33"/>
      <c r="M14" s="33"/>
    </row>
    <row r="15" spans="1:13" x14ac:dyDescent="0.25">
      <c r="A15" s="27" t="s">
        <v>26</v>
      </c>
      <c r="B15" s="33"/>
      <c r="C15" s="33"/>
      <c r="D15" s="33">
        <v>75</v>
      </c>
      <c r="E15" s="33"/>
      <c r="F15" s="33"/>
      <c r="G15" s="33"/>
      <c r="H15" s="33"/>
      <c r="I15" s="33"/>
      <c r="J15" s="33"/>
      <c r="K15" s="33"/>
      <c r="L15" s="33"/>
      <c r="M15" s="33"/>
    </row>
    <row r="16" spans="1:13" x14ac:dyDescent="0.25">
      <c r="A16" s="27" t="s">
        <v>68</v>
      </c>
      <c r="B16" s="33">
        <v>297.5</v>
      </c>
      <c r="C16" s="33">
        <v>378.75</v>
      </c>
      <c r="D16" s="33">
        <v>922.5</v>
      </c>
      <c r="E16" s="33">
        <v>362.5</v>
      </c>
      <c r="F16" s="33">
        <v>723.75</v>
      </c>
      <c r="G16" s="33">
        <v>376.25</v>
      </c>
      <c r="H16" s="33">
        <v>355</v>
      </c>
      <c r="I16" s="33">
        <v>431.25</v>
      </c>
      <c r="J16" s="33">
        <v>806</v>
      </c>
      <c r="K16" s="33">
        <v>247.75</v>
      </c>
      <c r="L16" s="33">
        <v>218.75</v>
      </c>
      <c r="M16" s="33">
        <v>410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dimension ref="B1:J31"/>
  <sheetViews>
    <sheetView showGridLines="0" zoomScale="140" zoomScaleNormal="140" workbookViewId="0">
      <selection activeCell="C6" sqref="C6"/>
    </sheetView>
  </sheetViews>
  <sheetFormatPr defaultColWidth="9.140625" defaultRowHeight="15" x14ac:dyDescent="0.25"/>
  <cols>
    <col min="1" max="1" width="5.28515625" customWidth="1"/>
    <col min="2" max="2" width="12.85546875" customWidth="1"/>
    <col min="3" max="3" width="22.5703125" bestFit="1" customWidth="1"/>
    <col min="4" max="4" width="19.7109375" bestFit="1" customWidth="1"/>
    <col min="5" max="5" width="18.42578125" customWidth="1"/>
    <col min="6" max="6" width="16.85546875" style="1" customWidth="1"/>
    <col min="7" max="7" width="16.85546875" customWidth="1"/>
    <col min="8" max="8" width="13.5703125" customWidth="1"/>
    <col min="9" max="9" width="15.28515625" customWidth="1"/>
  </cols>
  <sheetData>
    <row r="1" spans="2:10" s="6" customFormat="1" ht="60" customHeight="1" x14ac:dyDescent="0.25">
      <c r="E1" s="13" t="s">
        <v>0</v>
      </c>
      <c r="F1" s="14"/>
    </row>
    <row r="2" spans="2:10" s="8" customFormat="1" ht="6" customHeight="1" x14ac:dyDescent="0.25">
      <c r="F2" s="9"/>
    </row>
    <row r="4" spans="2:10" x14ac:dyDescent="0.25">
      <c r="B4" s="29" t="s">
        <v>70</v>
      </c>
      <c r="C4" s="23" t="s">
        <v>1</v>
      </c>
      <c r="D4" s="23" t="s">
        <v>2</v>
      </c>
      <c r="E4" s="23" t="s">
        <v>3</v>
      </c>
      <c r="F4" s="23" t="s">
        <v>4</v>
      </c>
      <c r="G4" s="23" t="s">
        <v>5</v>
      </c>
    </row>
    <row r="5" spans="2:10" ht="18" x14ac:dyDescent="0.35">
      <c r="B5" s="30">
        <v>510</v>
      </c>
      <c r="C5" s="10" t="s">
        <v>6</v>
      </c>
      <c r="D5" s="11" t="s">
        <v>7</v>
      </c>
      <c r="E5" s="11">
        <v>50</v>
      </c>
      <c r="F5" s="12">
        <v>2</v>
      </c>
      <c r="G5" s="12">
        <v>6</v>
      </c>
      <c r="H5" s="3"/>
      <c r="I5" s="3"/>
    </row>
    <row r="6" spans="2:10" ht="18" x14ac:dyDescent="0.35">
      <c r="B6" s="30">
        <v>512</v>
      </c>
      <c r="C6" s="10" t="s">
        <v>8</v>
      </c>
      <c r="D6" s="11" t="s">
        <v>9</v>
      </c>
      <c r="E6" s="11">
        <v>5</v>
      </c>
      <c r="F6" s="12">
        <v>1.5</v>
      </c>
      <c r="G6" s="12">
        <v>3</v>
      </c>
      <c r="I6" s="3"/>
    </row>
    <row r="7" spans="2:10" x14ac:dyDescent="0.25">
      <c r="B7" s="30">
        <v>514</v>
      </c>
      <c r="C7" s="10" t="s">
        <v>10</v>
      </c>
      <c r="D7" s="11" t="s">
        <v>9</v>
      </c>
      <c r="E7" s="11">
        <v>50</v>
      </c>
      <c r="F7" s="12">
        <v>0.5</v>
      </c>
      <c r="G7" s="12">
        <v>6.5</v>
      </c>
      <c r="I7" s="3"/>
    </row>
    <row r="8" spans="2:10" x14ac:dyDescent="0.25">
      <c r="B8" s="30">
        <v>516</v>
      </c>
      <c r="C8" s="10" t="s">
        <v>11</v>
      </c>
      <c r="D8" s="11" t="s">
        <v>9</v>
      </c>
      <c r="E8" s="11">
        <v>50</v>
      </c>
      <c r="F8" s="12">
        <v>1</v>
      </c>
      <c r="G8" s="12">
        <v>4.5</v>
      </c>
      <c r="I8" s="3"/>
    </row>
    <row r="9" spans="2:10" x14ac:dyDescent="0.25">
      <c r="B9" s="30">
        <v>518</v>
      </c>
      <c r="C9" s="10" t="s">
        <v>12</v>
      </c>
      <c r="D9" s="11" t="s">
        <v>9</v>
      </c>
      <c r="E9" s="11">
        <v>50</v>
      </c>
      <c r="F9" s="12">
        <v>1</v>
      </c>
      <c r="G9" s="12">
        <v>4</v>
      </c>
      <c r="I9" s="3"/>
      <c r="J9" s="5"/>
    </row>
    <row r="10" spans="2:10" x14ac:dyDescent="0.25">
      <c r="B10" s="30">
        <v>520</v>
      </c>
      <c r="C10" s="10" t="s">
        <v>13</v>
      </c>
      <c r="D10" s="11" t="s">
        <v>9</v>
      </c>
      <c r="E10" s="11">
        <v>50</v>
      </c>
      <c r="F10" s="12">
        <v>1</v>
      </c>
      <c r="G10" s="12">
        <v>4</v>
      </c>
    </row>
    <row r="11" spans="2:10" x14ac:dyDescent="0.25">
      <c r="B11" s="30">
        <v>522</v>
      </c>
      <c r="C11" s="10" t="s">
        <v>14</v>
      </c>
      <c r="D11" s="11" t="s">
        <v>9</v>
      </c>
      <c r="E11" s="11">
        <v>50</v>
      </c>
      <c r="F11" s="12">
        <v>0.5</v>
      </c>
      <c r="G11" s="12">
        <v>4</v>
      </c>
    </row>
    <row r="12" spans="2:10" ht="18" x14ac:dyDescent="0.35">
      <c r="B12" s="30">
        <v>524</v>
      </c>
      <c r="C12" s="10" t="s">
        <v>15</v>
      </c>
      <c r="D12" s="11" t="s">
        <v>16</v>
      </c>
      <c r="E12" s="11">
        <v>15</v>
      </c>
      <c r="F12" s="12">
        <v>0.5</v>
      </c>
      <c r="G12" s="12">
        <v>2</v>
      </c>
    </row>
    <row r="13" spans="2:10" x14ac:dyDescent="0.25">
      <c r="B13" s="30">
        <v>526</v>
      </c>
      <c r="C13" s="10" t="s">
        <v>17</v>
      </c>
      <c r="D13" s="11" t="s">
        <v>16</v>
      </c>
      <c r="E13" s="11">
        <v>15</v>
      </c>
      <c r="F13" s="12">
        <v>0.25</v>
      </c>
      <c r="G13" s="12">
        <v>1</v>
      </c>
    </row>
    <row r="14" spans="2:10" ht="18" x14ac:dyDescent="0.35">
      <c r="B14" s="30">
        <v>528</v>
      </c>
      <c r="C14" s="10" t="s">
        <v>18</v>
      </c>
      <c r="D14" s="11" t="s">
        <v>16</v>
      </c>
      <c r="E14" s="11">
        <v>15</v>
      </c>
      <c r="F14" s="12">
        <v>0.25</v>
      </c>
      <c r="G14" s="12">
        <v>1</v>
      </c>
    </row>
    <row r="15" spans="2:10" x14ac:dyDescent="0.25">
      <c r="B15" s="30">
        <v>530</v>
      </c>
      <c r="C15" s="10" t="s">
        <v>19</v>
      </c>
      <c r="D15" s="11" t="s">
        <v>20</v>
      </c>
      <c r="E15" s="11">
        <v>10</v>
      </c>
      <c r="F15" s="12">
        <v>0.25</v>
      </c>
      <c r="G15" s="12">
        <v>8.5</v>
      </c>
    </row>
    <row r="16" spans="2:10" x14ac:dyDescent="0.25">
      <c r="B16" s="30">
        <v>532</v>
      </c>
      <c r="C16" s="10" t="s">
        <v>21</v>
      </c>
      <c r="D16" s="11" t="s">
        <v>20</v>
      </c>
      <c r="E16" s="11">
        <v>12</v>
      </c>
      <c r="F16" s="12">
        <v>10</v>
      </c>
      <c r="G16" s="12">
        <v>5</v>
      </c>
    </row>
    <row r="17" spans="2:7" ht="18" x14ac:dyDescent="0.35">
      <c r="B17" s="30">
        <v>534</v>
      </c>
      <c r="C17" s="10" t="s">
        <v>22</v>
      </c>
      <c r="D17" s="11" t="s">
        <v>9</v>
      </c>
      <c r="E17" s="11">
        <v>4</v>
      </c>
      <c r="F17" s="12">
        <v>2</v>
      </c>
      <c r="G17" s="12">
        <v>2</v>
      </c>
    </row>
    <row r="18" spans="2:7" x14ac:dyDescent="0.25">
      <c r="B18" s="30">
        <v>536</v>
      </c>
      <c r="C18" s="10" t="s">
        <v>23</v>
      </c>
      <c r="D18" s="11" t="s">
        <v>16</v>
      </c>
      <c r="E18" s="11">
        <v>10</v>
      </c>
      <c r="F18" s="12">
        <v>1</v>
      </c>
      <c r="G18" s="12">
        <v>5</v>
      </c>
    </row>
    <row r="19" spans="2:7" x14ac:dyDescent="0.25">
      <c r="B19" s="30">
        <v>538</v>
      </c>
      <c r="C19" s="10" t="s">
        <v>24</v>
      </c>
      <c r="D19" s="11" t="s">
        <v>16</v>
      </c>
      <c r="E19" s="11">
        <v>2</v>
      </c>
      <c r="F19" s="12">
        <v>0.75</v>
      </c>
      <c r="G19" s="12">
        <v>1.5</v>
      </c>
    </row>
    <row r="20" spans="2:7" ht="18" x14ac:dyDescent="0.35">
      <c r="B20" s="30">
        <v>540</v>
      </c>
      <c r="C20" s="10" t="s">
        <v>25</v>
      </c>
      <c r="D20" s="11" t="s">
        <v>9</v>
      </c>
      <c r="E20" s="11">
        <v>10</v>
      </c>
      <c r="F20" s="12">
        <v>0.25</v>
      </c>
      <c r="G20" s="12">
        <v>7.5</v>
      </c>
    </row>
    <row r="21" spans="2:7" x14ac:dyDescent="0.25">
      <c r="B21" s="30">
        <v>542</v>
      </c>
      <c r="C21" s="10" t="s">
        <v>26</v>
      </c>
      <c r="D21" s="11" t="s">
        <v>16</v>
      </c>
      <c r="E21" s="11">
        <v>5</v>
      </c>
      <c r="F21" s="12">
        <v>0.75</v>
      </c>
      <c r="G21" s="12">
        <v>10</v>
      </c>
    </row>
    <row r="22" spans="2:7" x14ac:dyDescent="0.25">
      <c r="B22" s="30">
        <v>544</v>
      </c>
      <c r="C22" s="10" t="s">
        <v>27</v>
      </c>
      <c r="D22" s="11" t="s">
        <v>9</v>
      </c>
      <c r="E22" s="11">
        <v>2</v>
      </c>
      <c r="F22" s="12">
        <v>8</v>
      </c>
      <c r="G22" s="12">
        <v>15</v>
      </c>
    </row>
    <row r="23" spans="2:7" x14ac:dyDescent="0.25">
      <c r="B23" s="30">
        <v>546</v>
      </c>
      <c r="C23" s="10" t="s">
        <v>28</v>
      </c>
      <c r="D23" s="11" t="s">
        <v>9</v>
      </c>
      <c r="E23" s="11">
        <v>2</v>
      </c>
      <c r="F23" s="12">
        <v>4.5</v>
      </c>
      <c r="G23" s="12">
        <v>15</v>
      </c>
    </row>
    <row r="24" spans="2:7" ht="18" x14ac:dyDescent="0.35">
      <c r="B24" s="30">
        <v>548</v>
      </c>
      <c r="C24" s="10" t="s">
        <v>29</v>
      </c>
      <c r="D24" s="11" t="s">
        <v>30</v>
      </c>
      <c r="E24" s="11">
        <v>5</v>
      </c>
      <c r="F24" s="12">
        <v>0.25</v>
      </c>
      <c r="G24" s="12">
        <v>2</v>
      </c>
    </row>
    <row r="25" spans="2:7" ht="18" x14ac:dyDescent="0.35">
      <c r="B25" s="30">
        <v>550</v>
      </c>
      <c r="C25" s="10" t="s">
        <v>31</v>
      </c>
      <c r="D25" s="11" t="s">
        <v>30</v>
      </c>
      <c r="E25" s="11">
        <v>5</v>
      </c>
      <c r="F25" s="12">
        <v>0.75</v>
      </c>
      <c r="G25" s="12">
        <v>8</v>
      </c>
    </row>
    <row r="26" spans="2:7" ht="18" x14ac:dyDescent="0.35">
      <c r="B26" s="30">
        <v>552</v>
      </c>
      <c r="C26" s="10" t="s">
        <v>32</v>
      </c>
      <c r="D26" s="11" t="s">
        <v>9</v>
      </c>
      <c r="E26" s="11">
        <v>2</v>
      </c>
      <c r="F26" s="12">
        <v>1</v>
      </c>
      <c r="G26" s="12">
        <v>3</v>
      </c>
    </row>
    <row r="27" spans="2:7" ht="18" x14ac:dyDescent="0.35">
      <c r="B27" s="30">
        <v>554</v>
      </c>
      <c r="C27" s="10" t="s">
        <v>33</v>
      </c>
      <c r="D27" s="11" t="s">
        <v>9</v>
      </c>
      <c r="E27" s="11">
        <v>2</v>
      </c>
      <c r="F27" s="12">
        <v>2.5</v>
      </c>
      <c r="G27" s="12">
        <v>3.5</v>
      </c>
    </row>
    <row r="28" spans="2:7" ht="18" x14ac:dyDescent="0.35">
      <c r="B28" s="30">
        <v>556</v>
      </c>
      <c r="C28" s="10" t="s">
        <v>34</v>
      </c>
      <c r="D28" s="11" t="s">
        <v>9</v>
      </c>
      <c r="E28" s="11">
        <v>2</v>
      </c>
      <c r="F28" s="12">
        <v>1.5</v>
      </c>
      <c r="G28" s="12">
        <v>3</v>
      </c>
    </row>
    <row r="29" spans="2:7" ht="18" x14ac:dyDescent="0.35">
      <c r="B29" s="30">
        <v>558</v>
      </c>
      <c r="C29" s="10" t="s">
        <v>35</v>
      </c>
      <c r="D29" s="11" t="s">
        <v>9</v>
      </c>
      <c r="E29" s="11">
        <v>2</v>
      </c>
      <c r="F29" s="12">
        <v>3</v>
      </c>
      <c r="G29" s="12">
        <v>4.5</v>
      </c>
    </row>
    <row r="30" spans="2:7" ht="18" x14ac:dyDescent="0.35">
      <c r="B30" s="30">
        <v>560</v>
      </c>
      <c r="C30" s="10" t="s">
        <v>36</v>
      </c>
      <c r="D30" s="11" t="s">
        <v>16</v>
      </c>
      <c r="E30" s="11">
        <v>10</v>
      </c>
      <c r="F30" s="12">
        <v>2</v>
      </c>
      <c r="G30" s="12">
        <v>8</v>
      </c>
    </row>
    <row r="31" spans="2:7" ht="18" x14ac:dyDescent="0.35">
      <c r="B31" s="30">
        <v>562</v>
      </c>
      <c r="C31" s="10" t="s">
        <v>37</v>
      </c>
      <c r="D31" s="11" t="s">
        <v>9</v>
      </c>
      <c r="E31" s="11">
        <v>10</v>
      </c>
      <c r="F31" s="12">
        <v>0.25</v>
      </c>
      <c r="G31" s="12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C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dimension ref="B1:I9"/>
  <sheetViews>
    <sheetView showGridLines="0" zoomScale="160" zoomScaleNormal="160" workbookViewId="0">
      <selection activeCell="B6" sqref="B6:B7"/>
    </sheetView>
  </sheetViews>
  <sheetFormatPr defaultColWidth="9.140625" defaultRowHeight="15" x14ac:dyDescent="0.25"/>
  <cols>
    <col min="1" max="1" width="5.28515625" customWidth="1"/>
    <col min="2" max="2" width="8.5703125" customWidth="1"/>
    <col min="3" max="3" width="16.85546875" bestFit="1" customWidth="1"/>
    <col min="4" max="4" width="14.28515625" bestFit="1" customWidth="1"/>
    <col min="5" max="5" width="23.140625" customWidth="1"/>
    <col min="6" max="6" width="33.5703125" customWidth="1"/>
  </cols>
  <sheetData>
    <row r="1" spans="2:9" s="6" customFormat="1" ht="60" customHeight="1" x14ac:dyDescent="0.25">
      <c r="E1" s="13" t="s">
        <v>38</v>
      </c>
      <c r="F1" s="7"/>
    </row>
    <row r="2" spans="2:9" s="8" customFormat="1" ht="6" customHeight="1" x14ac:dyDescent="0.25">
      <c r="F2" s="9"/>
    </row>
    <row r="5" spans="2:9" x14ac:dyDescent="0.25">
      <c r="B5" s="29" t="s">
        <v>70</v>
      </c>
      <c r="C5" s="23" t="s">
        <v>39</v>
      </c>
      <c r="D5" s="23" t="s">
        <v>40</v>
      </c>
      <c r="E5" s="23" t="s">
        <v>41</v>
      </c>
      <c r="F5" s="23" t="s">
        <v>42</v>
      </c>
    </row>
    <row r="6" spans="2:9" x14ac:dyDescent="0.25">
      <c r="B6" s="30">
        <v>10</v>
      </c>
      <c r="C6" s="10" t="s">
        <v>43</v>
      </c>
      <c r="D6" s="11" t="s">
        <v>44</v>
      </c>
      <c r="E6" s="11" t="s">
        <v>45</v>
      </c>
      <c r="F6" s="12" t="s">
        <v>46</v>
      </c>
    </row>
    <row r="7" spans="2:9" ht="18" x14ac:dyDescent="0.35">
      <c r="B7" s="30">
        <v>20</v>
      </c>
      <c r="C7" s="10" t="s">
        <v>47</v>
      </c>
      <c r="D7" s="11" t="s">
        <v>48</v>
      </c>
      <c r="E7" s="11" t="s">
        <v>49</v>
      </c>
      <c r="F7" s="12" t="s">
        <v>50</v>
      </c>
    </row>
    <row r="8" spans="2:9" ht="18" x14ac:dyDescent="0.35">
      <c r="B8" s="30">
        <v>30</v>
      </c>
      <c r="C8" s="10" t="s">
        <v>51</v>
      </c>
      <c r="D8" s="11" t="s">
        <v>52</v>
      </c>
      <c r="E8" s="11" t="s">
        <v>53</v>
      </c>
      <c r="F8" s="12" t="s">
        <v>54</v>
      </c>
      <c r="I8" t="s">
        <v>55</v>
      </c>
    </row>
    <row r="9" spans="2:9" x14ac:dyDescent="0.25">
      <c r="B9" s="30">
        <v>40</v>
      </c>
      <c r="C9" s="10" t="s">
        <v>56</v>
      </c>
      <c r="D9" s="11" t="s">
        <v>57</v>
      </c>
      <c r="E9" s="11" t="s">
        <v>58</v>
      </c>
      <c r="F9" s="12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C9" xr:uid="{CB0A8FAC-1E94-4C7B-B66C-BC840809AA8D}">
      <formula1>COUNTIF(Lista_Fornecedores,B6)&lt;=1</formula1>
    </dataValidation>
  </dataValidations>
  <hyperlinks>
    <hyperlink ref="F6" r:id="rId1" display="mailto:maria@mercadoexpress.com.br" xr:uid="{BFA96C7E-CFA4-43C1-BA94-93E939CAF61B}"/>
    <hyperlink ref="F7" r:id="rId2" xr:uid="{B2F5BAB3-8645-48D1-8743-F6B02EAFE6F1}"/>
    <hyperlink ref="F8" r:id="rId3" display="mailto:eduardo@distribuídoraks.com.br" xr:uid="{1E6B527E-51F9-4124-9C35-5E328A13FBAD}"/>
    <hyperlink ref="F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dimension ref="B1:F60"/>
  <sheetViews>
    <sheetView showGridLines="0" topLeftCell="A4" zoomScale="140" zoomScaleNormal="140" workbookViewId="0">
      <selection activeCell="F11" sqref="F11"/>
    </sheetView>
  </sheetViews>
  <sheetFormatPr defaultColWidth="9.140625" defaultRowHeight="15" x14ac:dyDescent="0.25"/>
  <cols>
    <col min="1" max="1" width="5.28515625" customWidth="1"/>
    <col min="2" max="2" width="15.7109375" customWidth="1"/>
    <col min="3" max="4" width="16.42578125" style="2" customWidth="1"/>
    <col min="5" max="5" width="22.85546875" customWidth="1"/>
    <col min="6" max="6" width="22.28515625" style="2" customWidth="1"/>
    <col min="7" max="7" width="17.42578125" customWidth="1"/>
    <col min="8" max="8" width="18.42578125" customWidth="1"/>
  </cols>
  <sheetData>
    <row r="1" spans="2:6" s="6" customFormat="1" ht="60" customHeight="1" x14ac:dyDescent="0.25">
      <c r="E1" s="13" t="s">
        <v>60</v>
      </c>
      <c r="F1" s="7"/>
    </row>
    <row r="2" spans="2:6" s="8" customFormat="1" ht="6" customHeight="1" x14ac:dyDescent="0.25">
      <c r="F2" s="9"/>
    </row>
    <row r="4" spans="2:6" x14ac:dyDescent="0.25">
      <c r="C4"/>
    </row>
    <row r="5" spans="2:6" s="4" customFormat="1" x14ac:dyDescent="0.25">
      <c r="B5" s="25" t="s">
        <v>61</v>
      </c>
      <c r="C5" s="31" t="s">
        <v>1</v>
      </c>
      <c r="D5" s="25" t="s">
        <v>62</v>
      </c>
      <c r="E5" s="25" t="s">
        <v>63</v>
      </c>
    </row>
    <row r="6" spans="2:6" x14ac:dyDescent="0.25">
      <c r="B6" s="21">
        <v>44566</v>
      </c>
      <c r="C6" s="30">
        <v>510</v>
      </c>
      <c r="D6" s="11">
        <v>10</v>
      </c>
      <c r="E6" s="19">
        <v>100</v>
      </c>
      <c r="F6"/>
    </row>
    <row r="7" spans="2:6" x14ac:dyDescent="0.25">
      <c r="B7" s="21">
        <v>44566</v>
      </c>
      <c r="C7" s="30">
        <v>514</v>
      </c>
      <c r="D7" s="11">
        <v>40</v>
      </c>
      <c r="E7" s="19">
        <v>100</v>
      </c>
      <c r="F7"/>
    </row>
    <row r="8" spans="2:6" x14ac:dyDescent="0.25">
      <c r="B8" s="21">
        <v>44576</v>
      </c>
      <c r="C8" s="30">
        <v>530</v>
      </c>
      <c r="D8" s="11">
        <v>10</v>
      </c>
      <c r="E8" s="19">
        <v>90</v>
      </c>
      <c r="F8"/>
    </row>
    <row r="9" spans="2:6" x14ac:dyDescent="0.25">
      <c r="B9" s="21">
        <v>44578</v>
      </c>
      <c r="C9" s="30">
        <v>540</v>
      </c>
      <c r="D9" s="11">
        <v>40</v>
      </c>
      <c r="E9" s="19">
        <v>100</v>
      </c>
      <c r="F9"/>
    </row>
    <row r="10" spans="2:6" x14ac:dyDescent="0.25">
      <c r="B10" s="21">
        <v>44593</v>
      </c>
      <c r="C10" s="30">
        <v>540</v>
      </c>
      <c r="D10" s="11">
        <v>40</v>
      </c>
      <c r="E10" s="19">
        <v>85</v>
      </c>
      <c r="F10"/>
    </row>
    <row r="11" spans="2:6" x14ac:dyDescent="0.25">
      <c r="B11" s="21">
        <v>44594</v>
      </c>
      <c r="C11" s="30">
        <v>530</v>
      </c>
      <c r="D11" s="11">
        <v>10</v>
      </c>
      <c r="E11" s="19">
        <v>80</v>
      </c>
      <c r="F11"/>
    </row>
    <row r="12" spans="2:6" x14ac:dyDescent="0.25">
      <c r="B12" s="21">
        <v>44598</v>
      </c>
      <c r="C12" s="30">
        <v>510</v>
      </c>
      <c r="D12" s="11">
        <v>10</v>
      </c>
      <c r="E12" s="19">
        <v>125</v>
      </c>
      <c r="F12"/>
    </row>
    <row r="13" spans="2:6" x14ac:dyDescent="0.25">
      <c r="B13" s="21">
        <v>44602</v>
      </c>
      <c r="C13" s="30">
        <v>550</v>
      </c>
      <c r="D13" s="11">
        <v>30</v>
      </c>
      <c r="E13" s="19">
        <v>50</v>
      </c>
      <c r="F13"/>
    </row>
    <row r="14" spans="2:6" x14ac:dyDescent="0.25">
      <c r="B14" s="21">
        <v>44612</v>
      </c>
      <c r="C14" s="30">
        <v>514</v>
      </c>
      <c r="D14" s="11">
        <v>40</v>
      </c>
      <c r="E14" s="19">
        <v>100</v>
      </c>
      <c r="F14"/>
    </row>
    <row r="15" spans="2:6" x14ac:dyDescent="0.25">
      <c r="B15" s="21">
        <v>44625</v>
      </c>
      <c r="C15" s="30">
        <v>560</v>
      </c>
      <c r="D15" s="11">
        <v>30</v>
      </c>
      <c r="E15" s="19">
        <v>250</v>
      </c>
      <c r="F15"/>
    </row>
    <row r="16" spans="2:6" x14ac:dyDescent="0.25">
      <c r="B16" s="21">
        <v>44630</v>
      </c>
      <c r="C16" s="30">
        <v>540</v>
      </c>
      <c r="D16" s="11">
        <v>40</v>
      </c>
      <c r="E16" s="19">
        <v>50</v>
      </c>
      <c r="F16"/>
    </row>
    <row r="17" spans="2:6" x14ac:dyDescent="0.25">
      <c r="B17" s="21">
        <v>44635</v>
      </c>
      <c r="C17" s="30">
        <v>510</v>
      </c>
      <c r="D17" s="11">
        <v>10</v>
      </c>
      <c r="E17" s="19">
        <v>150</v>
      </c>
      <c r="F17"/>
    </row>
    <row r="18" spans="2:6" x14ac:dyDescent="0.25">
      <c r="B18" s="21">
        <v>44637</v>
      </c>
      <c r="C18" s="30">
        <v>542</v>
      </c>
      <c r="D18" s="11">
        <v>10</v>
      </c>
      <c r="E18" s="19">
        <v>100</v>
      </c>
      <c r="F18"/>
    </row>
    <row r="19" spans="2:6" x14ac:dyDescent="0.25">
      <c r="B19" s="21">
        <v>44644</v>
      </c>
      <c r="C19" s="30">
        <v>530</v>
      </c>
      <c r="D19" s="11">
        <v>10</v>
      </c>
      <c r="E19" s="19">
        <v>40</v>
      </c>
      <c r="F19"/>
    </row>
    <row r="20" spans="2:6" x14ac:dyDescent="0.25">
      <c r="B20" s="21">
        <v>44647</v>
      </c>
      <c r="C20" s="30">
        <v>514</v>
      </c>
      <c r="D20" s="11">
        <v>40</v>
      </c>
      <c r="E20" s="19">
        <v>50</v>
      </c>
      <c r="F20"/>
    </row>
    <row r="21" spans="2:6" x14ac:dyDescent="0.25">
      <c r="B21" s="21">
        <v>44655</v>
      </c>
      <c r="C21" s="30">
        <v>540</v>
      </c>
      <c r="D21" s="11">
        <v>40</v>
      </c>
      <c r="E21" s="19">
        <v>90</v>
      </c>
      <c r="F21"/>
    </row>
    <row r="22" spans="2:6" x14ac:dyDescent="0.25">
      <c r="B22" s="21">
        <v>44661</v>
      </c>
      <c r="C22" s="30">
        <v>510</v>
      </c>
      <c r="D22" s="11">
        <v>10</v>
      </c>
      <c r="E22" s="19">
        <v>150</v>
      </c>
      <c r="F22"/>
    </row>
    <row r="23" spans="2:6" x14ac:dyDescent="0.25">
      <c r="B23" s="21">
        <v>44672</v>
      </c>
      <c r="C23" s="30">
        <v>530</v>
      </c>
      <c r="D23" s="11">
        <v>10</v>
      </c>
      <c r="E23" s="19">
        <v>60</v>
      </c>
      <c r="F23"/>
    </row>
    <row r="24" spans="2:6" x14ac:dyDescent="0.25">
      <c r="B24" s="21">
        <v>44681</v>
      </c>
      <c r="C24" s="30">
        <v>514</v>
      </c>
      <c r="D24" s="11">
        <v>40</v>
      </c>
      <c r="E24" s="19">
        <v>50</v>
      </c>
      <c r="F24"/>
    </row>
    <row r="25" spans="2:6" x14ac:dyDescent="0.25">
      <c r="B25" s="21">
        <v>44686</v>
      </c>
      <c r="C25" s="30">
        <v>544</v>
      </c>
      <c r="D25" s="11">
        <v>20</v>
      </c>
      <c r="E25" s="19">
        <v>60</v>
      </c>
      <c r="F25"/>
    </row>
    <row r="26" spans="2:6" x14ac:dyDescent="0.25">
      <c r="B26" s="21">
        <v>44687</v>
      </c>
      <c r="C26" s="30">
        <v>514</v>
      </c>
      <c r="D26" s="11">
        <v>40</v>
      </c>
      <c r="E26" s="19">
        <v>50</v>
      </c>
      <c r="F26"/>
    </row>
    <row r="27" spans="2:6" x14ac:dyDescent="0.25">
      <c r="B27" s="21">
        <v>44691</v>
      </c>
      <c r="C27" s="30">
        <v>540</v>
      </c>
      <c r="D27" s="11">
        <v>40</v>
      </c>
      <c r="E27" s="19">
        <v>30</v>
      </c>
      <c r="F27"/>
    </row>
    <row r="28" spans="2:6" x14ac:dyDescent="0.25">
      <c r="B28" s="21">
        <v>44691</v>
      </c>
      <c r="C28" s="30">
        <v>510</v>
      </c>
      <c r="D28" s="11">
        <v>10</v>
      </c>
      <c r="E28" s="19">
        <v>100</v>
      </c>
      <c r="F28"/>
    </row>
    <row r="29" spans="2:6" x14ac:dyDescent="0.25">
      <c r="B29" s="21">
        <v>44698</v>
      </c>
      <c r="C29" s="30">
        <v>530</v>
      </c>
      <c r="D29" s="11">
        <v>10</v>
      </c>
      <c r="E29" s="19">
        <v>45</v>
      </c>
      <c r="F29"/>
    </row>
    <row r="30" spans="2:6" x14ac:dyDescent="0.25">
      <c r="B30" s="21">
        <v>44714</v>
      </c>
      <c r="C30" s="30">
        <v>510</v>
      </c>
      <c r="D30" s="11">
        <v>10</v>
      </c>
      <c r="E30" s="19">
        <v>150</v>
      </c>
      <c r="F30"/>
    </row>
    <row r="31" spans="2:6" ht="18" x14ac:dyDescent="0.35">
      <c r="B31" s="21">
        <v>44719</v>
      </c>
      <c r="C31" s="30">
        <v>530</v>
      </c>
      <c r="D31" s="11">
        <v>10</v>
      </c>
      <c r="E31" s="19">
        <v>115</v>
      </c>
      <c r="F31"/>
    </row>
    <row r="32" spans="2:6" ht="18" x14ac:dyDescent="0.35">
      <c r="B32" s="21">
        <v>44727</v>
      </c>
      <c r="C32" s="30">
        <v>540</v>
      </c>
      <c r="D32" s="11">
        <v>40</v>
      </c>
      <c r="E32" s="19">
        <v>100</v>
      </c>
      <c r="F32"/>
    </row>
    <row r="33" spans="2:6" ht="18" x14ac:dyDescent="0.35">
      <c r="B33" s="21">
        <v>44735</v>
      </c>
      <c r="C33" s="30">
        <v>514</v>
      </c>
      <c r="D33" s="11">
        <v>40</v>
      </c>
      <c r="E33" s="19">
        <v>45</v>
      </c>
      <c r="F33"/>
    </row>
    <row r="34" spans="2:6" ht="18" x14ac:dyDescent="0.35">
      <c r="B34" s="21">
        <v>44743</v>
      </c>
      <c r="C34" s="30">
        <v>510</v>
      </c>
      <c r="D34" s="11">
        <v>10</v>
      </c>
      <c r="E34" s="19">
        <v>150</v>
      </c>
      <c r="F34"/>
    </row>
    <row r="35" spans="2:6" ht="18" x14ac:dyDescent="0.35">
      <c r="B35" s="21">
        <v>44747</v>
      </c>
      <c r="C35" s="30">
        <v>540</v>
      </c>
      <c r="D35" s="11">
        <v>40</v>
      </c>
      <c r="E35" s="19">
        <v>60</v>
      </c>
      <c r="F35"/>
    </row>
    <row r="36" spans="2:6" ht="18" x14ac:dyDescent="0.35">
      <c r="B36" s="21">
        <v>44749</v>
      </c>
      <c r="C36" s="30">
        <v>530</v>
      </c>
      <c r="D36" s="11">
        <v>10</v>
      </c>
      <c r="E36" s="19">
        <v>120</v>
      </c>
      <c r="F36"/>
    </row>
    <row r="37" spans="2:6" ht="18" x14ac:dyDescent="0.35">
      <c r="B37" s="21">
        <v>44757</v>
      </c>
      <c r="C37" s="30">
        <v>514</v>
      </c>
      <c r="D37" s="11">
        <v>40</v>
      </c>
      <c r="E37" s="19">
        <v>20</v>
      </c>
      <c r="F37"/>
    </row>
    <row r="38" spans="2:6" ht="18" x14ac:dyDescent="0.35">
      <c r="B38" s="21">
        <v>44778</v>
      </c>
      <c r="C38" s="30">
        <v>530</v>
      </c>
      <c r="D38" s="11">
        <v>10</v>
      </c>
      <c r="E38" s="19">
        <v>35</v>
      </c>
      <c r="F38"/>
    </row>
    <row r="39" spans="2:6" ht="18" x14ac:dyDescent="0.35">
      <c r="B39" s="21">
        <v>44783</v>
      </c>
      <c r="C39" s="30">
        <v>536</v>
      </c>
      <c r="D39" s="11">
        <v>10</v>
      </c>
      <c r="E39" s="19">
        <v>100</v>
      </c>
      <c r="F39"/>
    </row>
    <row r="40" spans="2:6" ht="18" x14ac:dyDescent="0.35">
      <c r="B40" s="21">
        <v>44791</v>
      </c>
      <c r="C40" s="30">
        <v>540</v>
      </c>
      <c r="D40" s="11">
        <v>40</v>
      </c>
      <c r="E40" s="19">
        <v>30</v>
      </c>
      <c r="F40"/>
    </row>
    <row r="41" spans="2:6" ht="18" x14ac:dyDescent="0.35">
      <c r="B41" s="21">
        <v>44791</v>
      </c>
      <c r="C41" s="30">
        <v>514</v>
      </c>
      <c r="D41" s="11">
        <v>40</v>
      </c>
      <c r="E41" s="19">
        <v>30</v>
      </c>
      <c r="F41"/>
    </row>
    <row r="42" spans="2:6" ht="18" x14ac:dyDescent="0.35">
      <c r="B42" s="21">
        <v>44804</v>
      </c>
      <c r="C42" s="30">
        <v>510</v>
      </c>
      <c r="D42" s="11">
        <v>10</v>
      </c>
      <c r="E42" s="19">
        <v>150</v>
      </c>
      <c r="F42"/>
    </row>
    <row r="43" spans="2:6" ht="18" x14ac:dyDescent="0.35">
      <c r="B43" s="21">
        <v>44806</v>
      </c>
      <c r="C43" s="30">
        <v>560</v>
      </c>
      <c r="D43" s="11">
        <v>30</v>
      </c>
      <c r="E43" s="19">
        <v>100</v>
      </c>
      <c r="F43"/>
    </row>
    <row r="44" spans="2:6" ht="18" x14ac:dyDescent="0.35">
      <c r="B44" s="21">
        <v>44811</v>
      </c>
      <c r="C44" s="30">
        <v>530</v>
      </c>
      <c r="D44" s="11">
        <v>10</v>
      </c>
      <c r="E44" s="19">
        <v>34</v>
      </c>
      <c r="F44"/>
    </row>
    <row r="45" spans="2:6" ht="18" x14ac:dyDescent="0.35">
      <c r="B45" s="21">
        <v>44821</v>
      </c>
      <c r="C45" s="30">
        <v>546</v>
      </c>
      <c r="D45" s="11">
        <v>20</v>
      </c>
      <c r="E45" s="19">
        <v>50</v>
      </c>
      <c r="F45"/>
    </row>
    <row r="46" spans="2:6" ht="18" x14ac:dyDescent="0.35">
      <c r="B46" s="21">
        <v>44823</v>
      </c>
      <c r="C46" s="30">
        <v>540</v>
      </c>
      <c r="D46" s="11">
        <v>40</v>
      </c>
      <c r="E46" s="19">
        <v>20</v>
      </c>
      <c r="F46"/>
    </row>
    <row r="47" spans="2:6" ht="18" x14ac:dyDescent="0.35">
      <c r="B47" s="21">
        <v>44828</v>
      </c>
      <c r="C47" s="30">
        <v>514</v>
      </c>
      <c r="D47" s="11">
        <v>40</v>
      </c>
      <c r="E47" s="19">
        <v>15</v>
      </c>
      <c r="F47"/>
    </row>
    <row r="48" spans="2:6" ht="18" x14ac:dyDescent="0.35">
      <c r="B48" s="21">
        <v>44834</v>
      </c>
      <c r="C48" s="30">
        <v>510</v>
      </c>
      <c r="D48" s="11">
        <v>10</v>
      </c>
      <c r="E48" s="19">
        <v>180</v>
      </c>
      <c r="F48"/>
    </row>
    <row r="49" spans="2:6" ht="18" x14ac:dyDescent="0.35">
      <c r="B49" s="21">
        <v>44835</v>
      </c>
      <c r="C49" s="30">
        <v>530</v>
      </c>
      <c r="D49" s="11">
        <v>10</v>
      </c>
      <c r="E49" s="19">
        <v>46</v>
      </c>
      <c r="F49"/>
    </row>
    <row r="50" spans="2:6" ht="18" x14ac:dyDescent="0.35">
      <c r="B50" s="21">
        <v>44841</v>
      </c>
      <c r="C50" s="30">
        <v>540</v>
      </c>
      <c r="D50" s="11">
        <v>40</v>
      </c>
      <c r="E50" s="19">
        <v>35</v>
      </c>
      <c r="F50"/>
    </row>
    <row r="51" spans="2:6" ht="18" x14ac:dyDescent="0.35">
      <c r="B51" s="21">
        <v>44854</v>
      </c>
      <c r="C51" s="30">
        <v>510</v>
      </c>
      <c r="D51" s="11">
        <v>10</v>
      </c>
      <c r="E51" s="19">
        <v>100</v>
      </c>
      <c r="F51"/>
    </row>
    <row r="52" spans="2:6" ht="18" x14ac:dyDescent="0.35">
      <c r="B52" s="21">
        <v>44859</v>
      </c>
      <c r="C52" s="30">
        <v>514</v>
      </c>
      <c r="D52" s="11">
        <v>40</v>
      </c>
      <c r="E52" s="19">
        <v>55</v>
      </c>
      <c r="F52"/>
    </row>
    <row r="53" spans="2:6" ht="18" x14ac:dyDescent="0.35">
      <c r="B53" s="21">
        <v>44874</v>
      </c>
      <c r="C53" s="30">
        <v>548</v>
      </c>
      <c r="D53" s="11">
        <v>30</v>
      </c>
      <c r="E53" s="19">
        <v>100</v>
      </c>
      <c r="F53"/>
    </row>
    <row r="54" spans="2:6" ht="18" x14ac:dyDescent="0.35">
      <c r="B54" s="21">
        <v>44880</v>
      </c>
      <c r="C54" s="30">
        <v>510</v>
      </c>
      <c r="D54" s="11">
        <v>10</v>
      </c>
      <c r="E54" s="19">
        <v>80</v>
      </c>
      <c r="F54"/>
    </row>
    <row r="55" spans="2:6" ht="18" x14ac:dyDescent="0.35">
      <c r="B55" s="21">
        <v>44883</v>
      </c>
      <c r="C55" s="30">
        <v>530</v>
      </c>
      <c r="D55" s="11">
        <v>10</v>
      </c>
      <c r="E55" s="19">
        <v>45</v>
      </c>
      <c r="F55"/>
    </row>
    <row r="56" spans="2:6" ht="18" x14ac:dyDescent="0.35">
      <c r="B56" s="21">
        <v>44888</v>
      </c>
      <c r="C56" s="30">
        <v>540</v>
      </c>
      <c r="D56" s="11">
        <v>40</v>
      </c>
      <c r="E56" s="19">
        <v>20</v>
      </c>
      <c r="F56"/>
    </row>
    <row r="57" spans="2:6" ht="18" x14ac:dyDescent="0.35">
      <c r="B57" s="21">
        <v>44895</v>
      </c>
      <c r="C57" s="30">
        <v>514</v>
      </c>
      <c r="D57" s="11">
        <v>40</v>
      </c>
      <c r="E57" s="19">
        <v>35</v>
      </c>
      <c r="F57"/>
    </row>
    <row r="58" spans="2:6" ht="18" x14ac:dyDescent="0.35">
      <c r="B58" s="21">
        <v>44907</v>
      </c>
      <c r="C58" s="30">
        <v>510</v>
      </c>
      <c r="D58" s="11">
        <v>10</v>
      </c>
      <c r="E58" s="22">
        <v>200</v>
      </c>
      <c r="F58"/>
    </row>
    <row r="59" spans="2:6" ht="18" x14ac:dyDescent="0.35">
      <c r="B59" s="21">
        <v>44910</v>
      </c>
      <c r="C59" s="30">
        <v>530</v>
      </c>
      <c r="D59" s="11">
        <v>10</v>
      </c>
      <c r="E59" s="22">
        <v>40</v>
      </c>
      <c r="F59"/>
    </row>
    <row r="60" spans="2:6" x14ac:dyDescent="0.25">
      <c r="B60" s="3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dimension ref="B1:F63"/>
  <sheetViews>
    <sheetView showGridLines="0" zoomScale="130" zoomScaleNormal="130" workbookViewId="0">
      <selection activeCell="E11" sqref="E11"/>
    </sheetView>
  </sheetViews>
  <sheetFormatPr defaultColWidth="9.140625" defaultRowHeight="15" x14ac:dyDescent="0.25"/>
  <cols>
    <col min="1" max="1" width="5.28515625" customWidth="1"/>
    <col min="2" max="2" width="15.28515625" customWidth="1"/>
    <col min="3" max="3" width="20.85546875" customWidth="1"/>
    <col min="4" max="4" width="23.28515625" customWidth="1"/>
    <col min="5" max="5" width="17.28515625" customWidth="1"/>
    <col min="6" max="6" width="17.5703125" customWidth="1"/>
  </cols>
  <sheetData>
    <row r="1" spans="2:6" s="6" customFormat="1" ht="60" customHeight="1" x14ac:dyDescent="0.25">
      <c r="D1" s="13" t="s">
        <v>64</v>
      </c>
      <c r="E1" s="7"/>
    </row>
    <row r="2" spans="2:6" s="8" customFormat="1" ht="6" customHeight="1" x14ac:dyDescent="0.25">
      <c r="E2" s="9"/>
    </row>
    <row r="5" spans="2:6" x14ac:dyDescent="0.25">
      <c r="B5" s="15" t="s">
        <v>61</v>
      </c>
      <c r="C5" s="15" t="s">
        <v>1</v>
      </c>
      <c r="D5" s="15" t="s">
        <v>65</v>
      </c>
      <c r="E5" s="16" t="s">
        <v>5</v>
      </c>
      <c r="F5" s="16" t="s">
        <v>66</v>
      </c>
    </row>
    <row r="6" spans="2:6" x14ac:dyDescent="0.25">
      <c r="B6" s="17">
        <v>44566</v>
      </c>
      <c r="C6" s="18" t="s">
        <v>10</v>
      </c>
      <c r="D6" s="11">
        <v>30</v>
      </c>
      <c r="E6" s="24" cm="1">
        <f t="array" ref="E6">_xlfn.XLOOKUP(TB_Saídas[[#This Row],[Produto]],TB_Produtos[[#All],[Produto]],TB_Produtos[[#All],[Preço Unitário]],"Produto não Encontrado",0,1)</f>
        <v>6.5</v>
      </c>
      <c r="F6" s="20">
        <f>IFERROR(TB_Saídas[[#This Row],[Quantidade Vendida]]*TB_Saídas[[#This Row],[Preço Unitário]],"Não foi possível calcular")</f>
        <v>195</v>
      </c>
    </row>
    <row r="7" spans="2:6" ht="18" x14ac:dyDescent="0.35">
      <c r="B7" s="17">
        <v>44567</v>
      </c>
      <c r="C7" s="18" t="s">
        <v>6</v>
      </c>
      <c r="D7" s="11">
        <v>80</v>
      </c>
      <c r="E7" s="24" cm="1">
        <f t="array" ref="E7">_xlfn.XLOOKUP(TB_Saídas[[#This Row],[Produto]],TB_Produtos[[#All],[Produto]],TB_Produtos[[#All],[Preço Unitário]],"Produto não Encontrado",0,1)</f>
        <v>6</v>
      </c>
      <c r="F7" s="20">
        <f>IFERROR(TB_Saídas[[#This Row],[Quantidade Vendida]]*TB_Saídas[[#This Row],[Preço Unitário]],"Não foi possível calcular")</f>
        <v>480</v>
      </c>
    </row>
    <row r="8" spans="2:6" ht="18" x14ac:dyDescent="0.35">
      <c r="B8" s="17">
        <v>44581</v>
      </c>
      <c r="C8" s="18" t="s">
        <v>25</v>
      </c>
      <c r="D8" s="11">
        <v>50</v>
      </c>
      <c r="E8" s="24" cm="1">
        <f t="array" ref="E8">_xlfn.XLOOKUP(TB_Saídas[[#This Row],[Produto]],TB_Produtos[[#All],[Produto]],TB_Produtos[[#All],[Preço Unitário]],"Produto não Encontrado",0,1)</f>
        <v>7.5</v>
      </c>
      <c r="F8" s="20">
        <f>IFERROR(TB_Saídas[[#This Row],[Quantidade Vendida]]*TB_Saídas[[#This Row],[Preço Unitário]],"Não foi possível calcular")</f>
        <v>375</v>
      </c>
    </row>
    <row r="9" spans="2:6" x14ac:dyDescent="0.25">
      <c r="B9" s="17">
        <v>44586</v>
      </c>
      <c r="C9" s="18" t="s">
        <v>19</v>
      </c>
      <c r="D9" s="11">
        <v>50</v>
      </c>
      <c r="E9" s="24" cm="1">
        <f t="array" ref="E9">_xlfn.XLOOKUP(TB_Saídas[[#This Row],[Produto]],TB_Produtos[[#All],[Produto]],TB_Produtos[[#All],[Preço Unitário]],"Produto não Encontrado",0,1)</f>
        <v>8.5</v>
      </c>
      <c r="F9" s="20">
        <f>IFERROR(TB_Saídas[[#This Row],[Quantidade Vendida]]*TB_Saídas[[#This Row],[Preço Unitário]],"Não foi possível calcular")</f>
        <v>425</v>
      </c>
    </row>
    <row r="10" spans="2:6" ht="18" x14ac:dyDescent="0.35">
      <c r="B10" s="17">
        <v>44597</v>
      </c>
      <c r="C10" s="18" t="s">
        <v>25</v>
      </c>
      <c r="D10" s="11">
        <v>30</v>
      </c>
      <c r="E10" s="24" cm="1">
        <f t="array" ref="E10">_xlfn.XLOOKUP(TB_Saídas[[#This Row],[Produto]],TB_Produtos[[#All],[Produto]],TB_Produtos[[#All],[Preço Unitário]],"Produto não Encontrado",0,1)</f>
        <v>7.5</v>
      </c>
      <c r="F10" s="20">
        <f>IFERROR(TB_Saídas[[#This Row],[Quantidade Vendida]]*TB_Saídas[[#This Row],[Preço Unitário]],"Não foi possível calcular")</f>
        <v>225</v>
      </c>
    </row>
    <row r="11" spans="2:6" ht="18" x14ac:dyDescent="0.35">
      <c r="B11" s="17">
        <v>44598</v>
      </c>
      <c r="C11" s="18" t="s">
        <v>6</v>
      </c>
      <c r="D11" s="11">
        <v>110</v>
      </c>
      <c r="E11" s="24" cm="1">
        <f t="array" ref="E11">_xlfn.XLOOKUP(TB_Saídas[[#This Row],[Produto]],TB_Produtos[[#All],[Produto]],TB_Produtos[[#All],[Preço Unitário]],"Produto não Encontrado",0,1)</f>
        <v>6</v>
      </c>
      <c r="F11" s="20">
        <f>IFERROR(TB_Saídas[[#This Row],[Quantidade Vendida]]*TB_Saídas[[#This Row],[Preço Unitário]],"Não foi possível calcular")</f>
        <v>660</v>
      </c>
    </row>
    <row r="12" spans="2:6" x14ac:dyDescent="0.25">
      <c r="B12" s="17">
        <v>44602</v>
      </c>
      <c r="C12" s="18" t="s">
        <v>19</v>
      </c>
      <c r="D12" s="11">
        <v>75</v>
      </c>
      <c r="E12" s="24" cm="1">
        <f t="array" ref="E12">_xlfn.XLOOKUP(TB_Saídas[[#This Row],[Produto]],TB_Produtos[[#All],[Produto]],TB_Produtos[[#All],[Preço Unitário]],"Produto não Encontrado",0,1)</f>
        <v>8.5</v>
      </c>
      <c r="F12" s="20">
        <f>IFERROR(TB_Saídas[[#This Row],[Quantidade Vendida]]*TB_Saídas[[#This Row],[Preço Unitário]],"Não foi possível calcular")</f>
        <v>637.5</v>
      </c>
    </row>
    <row r="13" spans="2:6" x14ac:dyDescent="0.25">
      <c r="B13" s="17">
        <v>44620</v>
      </c>
      <c r="C13" s="18" t="s">
        <v>10</v>
      </c>
      <c r="D13" s="11">
        <v>20</v>
      </c>
      <c r="E13" s="24" cm="1">
        <f t="array" ref="E13">_xlfn.XLOOKUP(TB_Saídas[[#This Row],[Produto]],TB_Produtos[[#All],[Produto]],TB_Produtos[[#All],[Preço Unitário]],"Produto não Encontrado",0,1)</f>
        <v>6.5</v>
      </c>
      <c r="F13" s="20">
        <f>IFERROR(TB_Saídas[[#This Row],[Quantidade Vendida]]*TB_Saídas[[#This Row],[Preço Unitário]],"Não foi possível calcular")</f>
        <v>130</v>
      </c>
    </row>
    <row r="14" spans="2:6" x14ac:dyDescent="0.25">
      <c r="B14" s="17">
        <v>44626</v>
      </c>
      <c r="C14" s="18" t="s">
        <v>36</v>
      </c>
      <c r="D14" s="11">
        <v>110</v>
      </c>
      <c r="E14" s="24" cm="1">
        <f t="array" ref="E14">_xlfn.XLOOKUP(TB_Saídas[[#This Row],[Produto]],TB_Produtos[[#All],[Produto]],TB_Produtos[[#All],[Preço Unitário]],"Produto não Encontrado",0,1)</f>
        <v>8</v>
      </c>
      <c r="F14" s="20">
        <f>IFERROR(TB_Saídas[[#This Row],[Quantidade Vendida]]*TB_Saídas[[#This Row],[Preço Unitário]],"Não foi possível calcular")</f>
        <v>880</v>
      </c>
    </row>
    <row r="15" spans="2:6" ht="18" x14ac:dyDescent="0.35">
      <c r="B15" s="17">
        <v>44631</v>
      </c>
      <c r="C15" s="18" t="s">
        <v>25</v>
      </c>
      <c r="D15" s="11">
        <v>40</v>
      </c>
      <c r="E15" s="24" cm="1">
        <f t="array" ref="E15">_xlfn.XLOOKUP(TB_Saídas[[#This Row],[Produto]],TB_Produtos[[#All],[Produto]],TB_Produtos[[#All],[Preço Unitário]],"Produto não Encontrado",0,1)</f>
        <v>7.5</v>
      </c>
      <c r="F15" s="20">
        <f>IFERROR(TB_Saídas[[#This Row],[Quantidade Vendida]]*TB_Saídas[[#This Row],[Preço Unitário]],"Não foi possível calcular")</f>
        <v>300</v>
      </c>
    </row>
    <row r="16" spans="2:6" x14ac:dyDescent="0.25">
      <c r="B16" s="17">
        <v>44646</v>
      </c>
      <c r="C16" s="18" t="s">
        <v>19</v>
      </c>
      <c r="D16" s="11">
        <v>50</v>
      </c>
      <c r="E16" s="24" cm="1">
        <f t="array" ref="E16">_xlfn.XLOOKUP(TB_Saídas[[#This Row],[Produto]],TB_Produtos[[#All],[Produto]],TB_Produtos[[#All],[Preço Unitário]],"Produto não Encontrado",0,1)</f>
        <v>8.5</v>
      </c>
      <c r="F16" s="20">
        <f>IFERROR(TB_Saídas[[#This Row],[Quantidade Vendida]]*TB_Saídas[[#This Row],[Preço Unitário]],"Não foi possível calcular")</f>
        <v>425</v>
      </c>
    </row>
    <row r="17" spans="2:6" x14ac:dyDescent="0.25">
      <c r="B17" s="17">
        <v>44649</v>
      </c>
      <c r="C17" s="18" t="s">
        <v>10</v>
      </c>
      <c r="D17" s="11">
        <v>15</v>
      </c>
      <c r="E17" s="24" cm="1">
        <f t="array" ref="E17">_xlfn.XLOOKUP(TB_Saídas[[#This Row],[Produto]],TB_Produtos[[#All],[Produto]],TB_Produtos[[#All],[Preço Unitário]],"Produto não Encontrado",0,1)</f>
        <v>6.5</v>
      </c>
      <c r="F17" s="20">
        <f>IFERROR(TB_Saídas[[#This Row],[Quantidade Vendida]]*TB_Saídas[[#This Row],[Preço Unitário]],"Não foi possível calcular")</f>
        <v>97.5</v>
      </c>
    </row>
    <row r="18" spans="2:6" ht="18" x14ac:dyDescent="0.35">
      <c r="B18" s="17">
        <v>44630</v>
      </c>
      <c r="C18" s="18" t="s">
        <v>6</v>
      </c>
      <c r="D18" s="11">
        <v>100</v>
      </c>
      <c r="E18" s="24" cm="1">
        <f t="array" ref="E18">_xlfn.XLOOKUP(TB_Saídas[[#This Row],[Produto]],TB_Produtos[[#All],[Produto]],TB_Produtos[[#All],[Preço Unitário]],"Produto não Encontrado",0,1)</f>
        <v>6</v>
      </c>
      <c r="F18" s="20">
        <f>IFERROR(TB_Saídas[[#This Row],[Quantidade Vendida]]*TB_Saídas[[#This Row],[Preço Unitário]],"Não foi possível calcular")</f>
        <v>600</v>
      </c>
    </row>
    <row r="19" spans="2:6" x14ac:dyDescent="0.25">
      <c r="B19" s="17">
        <v>44659</v>
      </c>
      <c r="C19" s="18" t="s">
        <v>10</v>
      </c>
      <c r="D19" s="11">
        <v>40</v>
      </c>
      <c r="E19" s="24" cm="1">
        <f t="array" ref="E19">_xlfn.XLOOKUP(TB_Saídas[[#This Row],[Produto]],TB_Produtos[[#All],[Produto]],TB_Produtos[[#All],[Preço Unitário]],"Produto não Encontrado",0,1)</f>
        <v>6.5</v>
      </c>
      <c r="F19" s="20">
        <f>IFERROR(TB_Saídas[[#This Row],[Quantidade Vendida]]*TB_Saídas[[#This Row],[Preço Unitário]],"Não foi possível calcular")</f>
        <v>260</v>
      </c>
    </row>
    <row r="20" spans="2:6" ht="18" x14ac:dyDescent="0.35">
      <c r="B20" s="17">
        <v>44663</v>
      </c>
      <c r="C20" s="18" t="s">
        <v>6</v>
      </c>
      <c r="D20" s="11">
        <v>75</v>
      </c>
      <c r="E20" s="24" cm="1">
        <f t="array" ref="E20">_xlfn.XLOOKUP(TB_Saídas[[#This Row],[Produto]],TB_Produtos[[#All],[Produto]],TB_Produtos[[#All],[Preço Unitário]],"Produto não Encontrado",0,1)</f>
        <v>6</v>
      </c>
      <c r="F20" s="20">
        <f>IFERROR(TB_Saídas[[#This Row],[Quantidade Vendida]]*TB_Saídas[[#This Row],[Preço Unitário]],"Não foi possível calcular")</f>
        <v>450</v>
      </c>
    </row>
    <row r="21" spans="2:6" x14ac:dyDescent="0.25">
      <c r="B21" s="17">
        <v>44667</v>
      </c>
      <c r="C21" s="18" t="s">
        <v>31</v>
      </c>
      <c r="D21" s="11">
        <v>25</v>
      </c>
      <c r="E21" s="24" cm="1">
        <f t="array" ref="E21">_xlfn.XLOOKUP(TB_Saídas[[#This Row],[Produto]],TB_Produtos[[#All],[Produto]],TB_Produtos[[#All],[Preço Unitário]],"Produto não Encontrado",0,1)</f>
        <v>8</v>
      </c>
      <c r="F21" s="20">
        <f>IFERROR(TB_Saídas[[#This Row],[Quantidade Vendida]]*TB_Saídas[[#This Row],[Preço Unitário]],"Não foi possível calcular")</f>
        <v>200</v>
      </c>
    </row>
    <row r="22" spans="2:6" ht="18" x14ac:dyDescent="0.35">
      <c r="B22" s="17">
        <v>44671</v>
      </c>
      <c r="C22" s="18" t="s">
        <v>25</v>
      </c>
      <c r="D22" s="11">
        <v>40</v>
      </c>
      <c r="E22" s="24" cm="1">
        <f t="array" ref="E22">_xlfn.XLOOKUP(TB_Saídas[[#This Row],[Produto]],TB_Produtos[[#All],[Produto]],TB_Produtos[[#All],[Preço Unitário]],"Produto não Encontrado",0,1)</f>
        <v>7.5</v>
      </c>
      <c r="F22" s="20">
        <f>IFERROR(TB_Saídas[[#This Row],[Quantidade Vendida]]*TB_Saídas[[#This Row],[Preço Unitário]],"Não foi possível calcular")</f>
        <v>300</v>
      </c>
    </row>
    <row r="23" spans="2:6" x14ac:dyDescent="0.25">
      <c r="B23" s="17">
        <v>44681</v>
      </c>
      <c r="C23" s="18" t="s">
        <v>19</v>
      </c>
      <c r="D23" s="11">
        <v>35</v>
      </c>
      <c r="E23" s="24" cm="1">
        <f t="array" ref="E23">_xlfn.XLOOKUP(TB_Saídas[[#This Row],[Produto]],TB_Produtos[[#All],[Produto]],TB_Produtos[[#All],[Preço Unitário]],"Produto não Encontrado",0,1)</f>
        <v>8.5</v>
      </c>
      <c r="F23" s="20">
        <f>IFERROR(TB_Saídas[[#This Row],[Quantidade Vendida]]*TB_Saídas[[#This Row],[Preço Unitário]],"Não foi possível calcular")</f>
        <v>297.5</v>
      </c>
    </row>
    <row r="24" spans="2:6" ht="18" x14ac:dyDescent="0.35">
      <c r="B24" s="17">
        <v>44691</v>
      </c>
      <c r="C24" s="18" t="s">
        <v>25</v>
      </c>
      <c r="D24" s="11">
        <v>35</v>
      </c>
      <c r="E24" s="24" cm="1">
        <f t="array" ref="E24">_xlfn.XLOOKUP(TB_Saídas[[#This Row],[Produto]],TB_Produtos[[#All],[Produto]],TB_Produtos[[#All],[Preço Unitário]],"Produto não Encontrado",0,1)</f>
        <v>7.5</v>
      </c>
      <c r="F24" s="20">
        <f>IFERROR(TB_Saídas[[#This Row],[Quantidade Vendida]]*TB_Saídas[[#This Row],[Preço Unitário]],"Não foi possível calcular")</f>
        <v>262.5</v>
      </c>
    </row>
    <row r="25" spans="2:6" x14ac:dyDescent="0.25">
      <c r="B25" s="17">
        <v>44692</v>
      </c>
      <c r="C25" s="18" t="s">
        <v>27</v>
      </c>
      <c r="D25" s="11">
        <v>20</v>
      </c>
      <c r="E25" s="24" cm="1">
        <f t="array" ref="E25">_xlfn.XLOOKUP(TB_Saídas[[#This Row],[Produto]],TB_Produtos[[#All],[Produto]],TB_Produtos[[#All],[Preço Unitário]],"Produto não Encontrado",0,1)</f>
        <v>15</v>
      </c>
      <c r="F25" s="20">
        <f>IFERROR(TB_Saídas[[#This Row],[Quantidade Vendida]]*TB_Saídas[[#This Row],[Preço Unitário]],"Não foi possível calcular")</f>
        <v>300</v>
      </c>
    </row>
    <row r="26" spans="2:6" ht="18" x14ac:dyDescent="0.35">
      <c r="B26" s="17">
        <v>44692</v>
      </c>
      <c r="C26" s="18" t="s">
        <v>6</v>
      </c>
      <c r="D26" s="11">
        <v>75</v>
      </c>
      <c r="E26" s="24" cm="1">
        <f t="array" ref="E26">_xlfn.XLOOKUP(TB_Saídas[[#This Row],[Produto]],TB_Produtos[[#All],[Produto]],TB_Produtos[[#All],[Preço Unitário]],"Produto não Encontrado",0,1)</f>
        <v>6</v>
      </c>
      <c r="F26" s="20">
        <f>IFERROR(TB_Saídas[[#This Row],[Quantidade Vendida]]*TB_Saídas[[#This Row],[Preço Unitário]],"Não foi possível calcular")</f>
        <v>450</v>
      </c>
    </row>
    <row r="27" spans="2:6" ht="18" x14ac:dyDescent="0.35">
      <c r="B27" s="17">
        <v>44700</v>
      </c>
      <c r="C27" s="18" t="s">
        <v>19</v>
      </c>
      <c r="D27" s="11">
        <v>27</v>
      </c>
      <c r="E27" s="24" cm="1">
        <f t="array" ref="E27">_xlfn.XLOOKUP(TB_Saídas[[#This Row],[Produto]],TB_Produtos[[#All],[Produto]],TB_Produtos[[#All],[Preço Unitário]],"Produto não Encontrado",0,1)</f>
        <v>8.5</v>
      </c>
      <c r="F27" s="20">
        <f>IFERROR(TB_Saídas[[#This Row],[Quantidade Vendida]]*TB_Saídas[[#This Row],[Preço Unitário]],"Não foi possível calcular")</f>
        <v>229.5</v>
      </c>
    </row>
    <row r="28" spans="2:6" ht="18" x14ac:dyDescent="0.35">
      <c r="B28" s="17">
        <v>44700</v>
      </c>
      <c r="C28" s="18" t="s">
        <v>10</v>
      </c>
      <c r="D28" s="11">
        <v>20</v>
      </c>
      <c r="E28" s="24" cm="1">
        <f t="array" ref="E28">_xlfn.XLOOKUP(TB_Saídas[[#This Row],[Produto]],TB_Produtos[[#All],[Produto]],TB_Produtos[[#All],[Preço Unitário]],"Produto não Encontrado",0,1)</f>
        <v>6.5</v>
      </c>
      <c r="F28" s="20">
        <f>IFERROR(TB_Saídas[[#This Row],[Quantidade Vendida]]*TB_Saídas[[#This Row],[Preço Unitário]],"Não foi possível calcular")</f>
        <v>130</v>
      </c>
    </row>
    <row r="29" spans="2:6" ht="18" x14ac:dyDescent="0.35">
      <c r="B29" s="17">
        <v>44737</v>
      </c>
      <c r="C29" s="18" t="s">
        <v>19</v>
      </c>
      <c r="D29" s="11">
        <v>35</v>
      </c>
      <c r="E29" s="24" cm="1">
        <f t="array" ref="E29">_xlfn.XLOOKUP(TB_Saídas[[#This Row],[Produto]],TB_Produtos[[#All],[Produto]],TB_Produtos[[#All],[Preço Unitário]],"Produto não Encontrado",0,1)</f>
        <v>8.5</v>
      </c>
      <c r="F29" s="20">
        <f>IFERROR(TB_Saídas[[#This Row],[Quantidade Vendida]]*TB_Saídas[[#This Row],[Preço Unitário]],"Não foi possível calcular")</f>
        <v>297.5</v>
      </c>
    </row>
    <row r="30" spans="2:6" ht="18" x14ac:dyDescent="0.35">
      <c r="B30" s="17">
        <v>44738</v>
      </c>
      <c r="C30" s="18" t="s">
        <v>6</v>
      </c>
      <c r="D30" s="11">
        <v>100</v>
      </c>
      <c r="E30" s="24" cm="1">
        <f t="array" ref="E30">_xlfn.XLOOKUP(TB_Saídas[[#This Row],[Produto]],TB_Produtos[[#All],[Produto]],TB_Produtos[[#All],[Preço Unitário]],"Produto não Encontrado",0,1)</f>
        <v>6</v>
      </c>
      <c r="F30" s="20">
        <f>IFERROR(TB_Saídas[[#This Row],[Quantidade Vendida]]*TB_Saídas[[#This Row],[Preço Unitário]],"Não foi possível calcular")</f>
        <v>600</v>
      </c>
    </row>
    <row r="31" spans="2:6" ht="18" x14ac:dyDescent="0.35">
      <c r="B31" s="17">
        <v>44738</v>
      </c>
      <c r="C31" s="18" t="s">
        <v>25</v>
      </c>
      <c r="D31" s="11">
        <v>20</v>
      </c>
      <c r="E31" s="24" cm="1">
        <f t="array" ref="E31">_xlfn.XLOOKUP(TB_Saídas[[#This Row],[Produto]],TB_Produtos[[#All],[Produto]],TB_Produtos[[#All],[Preço Unitário]],"Produto não Encontrado",0,1)</f>
        <v>7.5</v>
      </c>
      <c r="F31" s="20">
        <f>IFERROR(TB_Saídas[[#This Row],[Quantidade Vendida]]*TB_Saídas[[#This Row],[Preço Unitário]],"Não foi possível calcular")</f>
        <v>150</v>
      </c>
    </row>
    <row r="32" spans="2:6" ht="18" x14ac:dyDescent="0.35">
      <c r="B32" s="17">
        <v>44739</v>
      </c>
      <c r="C32" s="18" t="s">
        <v>10</v>
      </c>
      <c r="D32" s="11">
        <v>15</v>
      </c>
      <c r="E32" s="24" cm="1">
        <f t="array" ref="E32">_xlfn.XLOOKUP(TB_Saídas[[#This Row],[Produto]],TB_Produtos[[#All],[Produto]],TB_Produtos[[#All],[Preço Unitário]],"Produto não Encontrado",0,1)</f>
        <v>6.5</v>
      </c>
      <c r="F32" s="20">
        <f>IFERROR(TB_Saídas[[#This Row],[Quantidade Vendida]]*TB_Saídas[[#This Row],[Preço Unitário]],"Não foi possível calcular")</f>
        <v>97.5</v>
      </c>
    </row>
    <row r="33" spans="2:6" ht="18" x14ac:dyDescent="0.35">
      <c r="B33" s="17">
        <v>44749</v>
      </c>
      <c r="C33" s="18" t="s">
        <v>26</v>
      </c>
      <c r="D33" s="11">
        <v>40</v>
      </c>
      <c r="E33" s="24" cm="1">
        <f t="array" ref="E33">_xlfn.XLOOKUP(TB_Saídas[[#This Row],[Produto]],TB_Produtos[[#All],[Produto]],TB_Produtos[[#All],[Preço Unitário]],"Produto não Encontrado",0,1)</f>
        <v>10</v>
      </c>
      <c r="F33" s="20">
        <f>IFERROR(TB_Saídas[[#This Row],[Quantidade Vendida]]*TB_Saídas[[#This Row],[Preço Unitário]],"Não foi possível calcular")</f>
        <v>400</v>
      </c>
    </row>
    <row r="34" spans="2:6" ht="18" x14ac:dyDescent="0.35">
      <c r="B34" s="17">
        <v>44749</v>
      </c>
      <c r="C34" s="18" t="s">
        <v>6</v>
      </c>
      <c r="D34" s="11">
        <v>90</v>
      </c>
      <c r="E34" s="24" cm="1">
        <f t="array" ref="E34">_xlfn.XLOOKUP(TB_Saídas[[#This Row],[Produto]],TB_Produtos[[#All],[Produto]],TB_Produtos[[#All],[Preço Unitário]],"Produto não Encontrado",0,1)</f>
        <v>6</v>
      </c>
      <c r="F34" s="20">
        <f>IFERROR(TB_Saídas[[#This Row],[Quantidade Vendida]]*TB_Saídas[[#This Row],[Preço Unitário]],"Não foi possível calcular")</f>
        <v>540</v>
      </c>
    </row>
    <row r="35" spans="2:6" ht="18" x14ac:dyDescent="0.35">
      <c r="B35" s="17">
        <v>44758</v>
      </c>
      <c r="C35" s="18" t="s">
        <v>10</v>
      </c>
      <c r="D35" s="11">
        <v>35</v>
      </c>
      <c r="E35" s="24" cm="1">
        <f t="array" ref="E35">_xlfn.XLOOKUP(TB_Saídas[[#This Row],[Produto]],TB_Produtos[[#All],[Produto]],TB_Produtos[[#All],[Preço Unitário]],"Produto não Encontrado",0,1)</f>
        <v>6.5</v>
      </c>
      <c r="F35" s="20">
        <f>IFERROR(TB_Saídas[[#This Row],[Quantidade Vendida]]*TB_Saídas[[#This Row],[Preço Unitário]],"Não foi possível calcular")</f>
        <v>227.5</v>
      </c>
    </row>
    <row r="36" spans="2:6" ht="18" x14ac:dyDescent="0.35">
      <c r="B36" s="17">
        <v>44765</v>
      </c>
      <c r="C36" s="18" t="s">
        <v>19</v>
      </c>
      <c r="D36" s="11">
        <v>75</v>
      </c>
      <c r="E36" s="24" cm="1">
        <f t="array" ref="E36">_xlfn.XLOOKUP(TB_Saídas[[#This Row],[Produto]],TB_Produtos[[#All],[Produto]],TB_Produtos[[#All],[Preço Unitário]],"Produto não Encontrado",0,1)</f>
        <v>8.5</v>
      </c>
      <c r="F36" s="20">
        <f>IFERROR(TB_Saídas[[#This Row],[Quantidade Vendida]]*TB_Saídas[[#This Row],[Preço Unitário]],"Não foi possível calcular")</f>
        <v>637.5</v>
      </c>
    </row>
    <row r="37" spans="2:6" ht="18" x14ac:dyDescent="0.35">
      <c r="B37" s="17">
        <v>44772</v>
      </c>
      <c r="C37" s="18" t="s">
        <v>25</v>
      </c>
      <c r="D37" s="11">
        <v>55</v>
      </c>
      <c r="E37" s="24" cm="1">
        <f t="array" ref="E37">_xlfn.XLOOKUP(TB_Saídas[[#This Row],[Produto]],TB_Produtos[[#All],[Produto]],TB_Produtos[[#All],[Preço Unitário]],"Produto não Encontrado",0,1)</f>
        <v>7.5</v>
      </c>
      <c r="F37" s="20">
        <f>IFERROR(TB_Saídas[[#This Row],[Quantidade Vendida]]*TB_Saídas[[#This Row],[Preço Unitário]],"Não foi possível calcular")</f>
        <v>412.5</v>
      </c>
    </row>
    <row r="38" spans="2:6" ht="18" x14ac:dyDescent="0.35">
      <c r="B38" s="17">
        <v>44792</v>
      </c>
      <c r="C38" s="18" t="s">
        <v>10</v>
      </c>
      <c r="D38" s="11">
        <v>12</v>
      </c>
      <c r="E38" s="24" cm="1">
        <f t="array" ref="E38">_xlfn.XLOOKUP(TB_Saídas[[#This Row],[Produto]],TB_Produtos[[#All],[Produto]],TB_Produtos[[#All],[Preço Unitário]],"Produto não Encontrado",0,1)</f>
        <v>6.5</v>
      </c>
      <c r="F38" s="20">
        <f>IFERROR(TB_Saídas[[#This Row],[Quantidade Vendida]]*TB_Saídas[[#This Row],[Preço Unitário]],"Não foi possível calcular")</f>
        <v>78</v>
      </c>
    </row>
    <row r="39" spans="2:6" ht="18" x14ac:dyDescent="0.35">
      <c r="B39" s="17">
        <v>44794</v>
      </c>
      <c r="C39" s="18" t="s">
        <v>19</v>
      </c>
      <c r="D39" s="11">
        <v>36</v>
      </c>
      <c r="E39" s="24" cm="1">
        <f t="array" ref="E39">_xlfn.XLOOKUP(TB_Saídas[[#This Row],[Produto]],TB_Produtos[[#All],[Produto]],TB_Produtos[[#All],[Preço Unitário]],"Produto não Encontrado",0,1)</f>
        <v>8.5</v>
      </c>
      <c r="F39" s="20">
        <f>IFERROR(TB_Saídas[[#This Row],[Quantidade Vendida]]*TB_Saídas[[#This Row],[Preço Unitário]],"Não foi possível calcular")</f>
        <v>306</v>
      </c>
    </row>
    <row r="40" spans="2:6" ht="18" x14ac:dyDescent="0.35">
      <c r="B40" s="17">
        <v>44803</v>
      </c>
      <c r="C40" s="18" t="s">
        <v>23</v>
      </c>
      <c r="D40" s="11">
        <v>90</v>
      </c>
      <c r="E40" s="24" cm="1">
        <f t="array" ref="E40">_xlfn.XLOOKUP(TB_Saídas[[#This Row],[Produto]],TB_Produtos[[#All],[Produto]],TB_Produtos[[#All],[Preço Unitário]],"Produto não Encontrado",0,1)</f>
        <v>5</v>
      </c>
      <c r="F40" s="20">
        <f>IFERROR(TB_Saídas[[#This Row],[Quantidade Vendida]]*TB_Saídas[[#This Row],[Preço Unitário]],"Não foi possível calcular")</f>
        <v>450</v>
      </c>
    </row>
    <row r="41" spans="2:6" ht="18" x14ac:dyDescent="0.35">
      <c r="B41" s="17">
        <v>44803</v>
      </c>
      <c r="C41" s="18" t="s">
        <v>25</v>
      </c>
      <c r="D41" s="11">
        <v>25</v>
      </c>
      <c r="E41" s="24" cm="1">
        <f t="array" ref="E41">_xlfn.XLOOKUP(TB_Saídas[[#This Row],[Produto]],TB_Produtos[[#All],[Produto]],TB_Produtos[[#All],[Preço Unitário]],"Produto não Encontrado",0,1)</f>
        <v>7.5</v>
      </c>
      <c r="F41" s="20">
        <f>IFERROR(TB_Saídas[[#This Row],[Quantidade Vendida]]*TB_Saídas[[#This Row],[Preço Unitário]],"Não foi possível calcular")</f>
        <v>187.5</v>
      </c>
    </row>
    <row r="42" spans="2:6" ht="18" x14ac:dyDescent="0.35">
      <c r="B42" s="17">
        <v>44803</v>
      </c>
      <c r="C42" s="18" t="s">
        <v>6</v>
      </c>
      <c r="D42" s="11">
        <v>100</v>
      </c>
      <c r="E42" s="24" cm="1">
        <f t="array" ref="E42">_xlfn.XLOOKUP(TB_Saídas[[#This Row],[Produto]],TB_Produtos[[#All],[Produto]],TB_Produtos[[#All],[Preço Unitário]],"Produto não Encontrado",0,1)</f>
        <v>6</v>
      </c>
      <c r="F42" s="20">
        <f>IFERROR(TB_Saídas[[#This Row],[Quantidade Vendida]]*TB_Saídas[[#This Row],[Preço Unitário]],"Não foi possível calcular")</f>
        <v>600</v>
      </c>
    </row>
    <row r="43" spans="2:6" ht="18" x14ac:dyDescent="0.35">
      <c r="B43" s="17">
        <v>44811</v>
      </c>
      <c r="C43" s="18" t="s">
        <v>36</v>
      </c>
      <c r="D43" s="11">
        <v>100</v>
      </c>
      <c r="E43" s="24" cm="1">
        <f t="array" ref="E43">_xlfn.XLOOKUP(TB_Saídas[[#This Row],[Produto]],TB_Produtos[[#All],[Produto]],TB_Produtos[[#All],[Preço Unitário]],"Produto não Encontrado",0,1)</f>
        <v>8</v>
      </c>
      <c r="F43" s="20">
        <f>IFERROR(TB_Saídas[[#This Row],[Quantidade Vendida]]*TB_Saídas[[#This Row],[Preço Unitário]],"Não foi possível calcular")</f>
        <v>800</v>
      </c>
    </row>
    <row r="44" spans="2:6" ht="18" x14ac:dyDescent="0.35">
      <c r="B44" s="17">
        <v>44811</v>
      </c>
      <c r="C44" s="18" t="s">
        <v>6</v>
      </c>
      <c r="D44" s="11">
        <v>35</v>
      </c>
      <c r="E44" s="24" cm="1">
        <f t="array" ref="E44">_xlfn.XLOOKUP(TB_Saídas[[#This Row],[Produto]],TB_Produtos[[#All],[Produto]],TB_Produtos[[#All],[Preço Unitário]],"Produto não Encontrado",0,1)</f>
        <v>6</v>
      </c>
      <c r="F44" s="20">
        <f>IFERROR(TB_Saídas[[#This Row],[Quantidade Vendida]]*TB_Saídas[[#This Row],[Preço Unitário]],"Não foi possível calcular")</f>
        <v>210</v>
      </c>
    </row>
    <row r="45" spans="2:6" ht="18" x14ac:dyDescent="0.35">
      <c r="B45" s="17">
        <v>44821</v>
      </c>
      <c r="C45" s="18" t="s">
        <v>19</v>
      </c>
      <c r="D45" s="11">
        <v>42</v>
      </c>
      <c r="E45" s="24" cm="1">
        <f t="array" ref="E45">_xlfn.XLOOKUP(TB_Saídas[[#This Row],[Produto]],TB_Produtos[[#All],[Produto]],TB_Produtos[[#All],[Preço Unitário]],"Produto não Encontrado",0,1)</f>
        <v>8.5</v>
      </c>
      <c r="F45" s="20">
        <f>IFERROR(TB_Saídas[[#This Row],[Quantidade Vendida]]*TB_Saídas[[#This Row],[Preço Unitário]],"Não foi possível calcular")</f>
        <v>357</v>
      </c>
    </row>
    <row r="46" spans="2:6" ht="18" x14ac:dyDescent="0.35">
      <c r="B46" s="17">
        <v>44823</v>
      </c>
      <c r="C46" s="18" t="s">
        <v>28</v>
      </c>
      <c r="D46" s="11">
        <v>30</v>
      </c>
      <c r="E46" s="24" cm="1">
        <f t="array" ref="E46">_xlfn.XLOOKUP(TB_Saídas[[#This Row],[Produto]],TB_Produtos[[#All],[Produto]],TB_Produtos[[#All],[Preço Unitário]],"Produto não Encontrado",0,1)</f>
        <v>15</v>
      </c>
      <c r="F46" s="20">
        <f>IFERROR(TB_Saídas[[#This Row],[Quantidade Vendida]]*TB_Saídas[[#This Row],[Preço Unitário]],"Não foi possível calcular")</f>
        <v>450</v>
      </c>
    </row>
    <row r="47" spans="2:6" ht="18" x14ac:dyDescent="0.35">
      <c r="B47" s="17">
        <v>44829</v>
      </c>
      <c r="C47" s="18" t="s">
        <v>25</v>
      </c>
      <c r="D47" s="11">
        <v>40</v>
      </c>
      <c r="E47" s="24" cm="1">
        <f t="array" ref="E47">_xlfn.XLOOKUP(TB_Saídas[[#This Row],[Produto]],TB_Produtos[[#All],[Produto]],TB_Produtos[[#All],[Preço Unitário]],"Produto não Encontrado",0,1)</f>
        <v>7.5</v>
      </c>
      <c r="F47" s="20">
        <f>IFERROR(TB_Saídas[[#This Row],[Quantidade Vendida]]*TB_Saídas[[#This Row],[Preço Unitário]],"Não foi possível calcular")</f>
        <v>300</v>
      </c>
    </row>
    <row r="48" spans="2:6" ht="18" x14ac:dyDescent="0.35">
      <c r="B48" s="17">
        <v>44834</v>
      </c>
      <c r="C48" s="18" t="s">
        <v>10</v>
      </c>
      <c r="D48" s="11">
        <v>18</v>
      </c>
      <c r="E48" s="24" cm="1">
        <f t="array" ref="E48">_xlfn.XLOOKUP(TB_Saídas[[#This Row],[Produto]],TB_Produtos[[#All],[Produto]],TB_Produtos[[#All],[Preço Unitário]],"Produto não Encontrado",0,1)</f>
        <v>6.5</v>
      </c>
      <c r="F48" s="20">
        <f>IFERROR(TB_Saídas[[#This Row],[Quantidade Vendida]]*TB_Saídas[[#This Row],[Preço Unitário]],"Não foi possível calcular")</f>
        <v>117</v>
      </c>
    </row>
    <row r="49" spans="2:6" ht="18" x14ac:dyDescent="0.35">
      <c r="B49" s="17">
        <v>44838</v>
      </c>
      <c r="C49" s="18" t="s">
        <v>19</v>
      </c>
      <c r="D49" s="11">
        <v>28</v>
      </c>
      <c r="E49" s="24" cm="1">
        <f t="array" ref="E49">_xlfn.XLOOKUP(TB_Saídas[[#This Row],[Produto]],TB_Produtos[[#All],[Produto]],TB_Produtos[[#All],[Preço Unitário]],"Produto não Encontrado",0,1)</f>
        <v>8.5</v>
      </c>
      <c r="F49" s="20">
        <f>IFERROR(TB_Saídas[[#This Row],[Quantidade Vendida]]*TB_Saídas[[#This Row],[Preço Unitário]],"Não foi possível calcular")</f>
        <v>238</v>
      </c>
    </row>
    <row r="50" spans="2:6" ht="18" x14ac:dyDescent="0.35">
      <c r="B50" s="17">
        <v>44847</v>
      </c>
      <c r="C50" s="18" t="s">
        <v>27</v>
      </c>
      <c r="D50" s="11">
        <v>30</v>
      </c>
      <c r="E50" s="24" cm="1">
        <f t="array" ref="E50">_xlfn.XLOOKUP(TB_Saídas[[#This Row],[Produto]],TB_Produtos[[#All],[Produto]],TB_Produtos[[#All],[Preço Unitário]],"Produto não Encontrado",0,1)</f>
        <v>15</v>
      </c>
      <c r="F50" s="20">
        <f>IFERROR(TB_Saídas[[#This Row],[Quantidade Vendida]]*TB_Saídas[[#This Row],[Preço Unitário]],"Não foi possível calcular")</f>
        <v>450</v>
      </c>
    </row>
    <row r="51" spans="2:6" ht="18" x14ac:dyDescent="0.35">
      <c r="B51" s="17">
        <v>44851</v>
      </c>
      <c r="C51" s="18" t="s">
        <v>25</v>
      </c>
      <c r="D51" s="11">
        <v>30</v>
      </c>
      <c r="E51" s="24" cm="1">
        <f t="array" ref="E51">_xlfn.XLOOKUP(TB_Saídas[[#This Row],[Produto]],TB_Produtos[[#All],[Produto]],TB_Produtos[[#All],[Preço Unitário]],"Produto não Encontrado",0,1)</f>
        <v>7.5</v>
      </c>
      <c r="F51" s="20">
        <f>IFERROR(TB_Saídas[[#This Row],[Quantidade Vendida]]*TB_Saídas[[#This Row],[Preço Unitário]],"Não foi possível calcular")</f>
        <v>225</v>
      </c>
    </row>
    <row r="52" spans="2:6" ht="18" x14ac:dyDescent="0.35">
      <c r="B52" s="17">
        <v>44862</v>
      </c>
      <c r="C52" s="18" t="s">
        <v>10</v>
      </c>
      <c r="D52" s="11">
        <v>10</v>
      </c>
      <c r="E52" s="24" cm="1">
        <f t="array" ref="E52">_xlfn.XLOOKUP(TB_Saídas[[#This Row],[Produto]],TB_Produtos[[#All],[Produto]],TB_Produtos[[#All],[Preço Unitário]],"Produto não Encontrado",0,1)</f>
        <v>6.5</v>
      </c>
      <c r="F52" s="20">
        <f>IFERROR(TB_Saídas[[#This Row],[Quantidade Vendida]]*TB_Saídas[[#This Row],[Preço Unitário]],"Não foi possível calcular")</f>
        <v>65</v>
      </c>
    </row>
    <row r="53" spans="2:6" ht="18" x14ac:dyDescent="0.35">
      <c r="B53" s="17">
        <v>44865</v>
      </c>
      <c r="C53" s="18" t="s">
        <v>26</v>
      </c>
      <c r="D53" s="11">
        <v>35</v>
      </c>
      <c r="E53" s="24" cm="1">
        <f t="array" ref="E53">_xlfn.XLOOKUP(TB_Saídas[[#This Row],[Produto]],TB_Produtos[[#All],[Produto]],TB_Produtos[[#All],[Preço Unitário]],"Produto não Encontrado",0,1)</f>
        <v>10</v>
      </c>
      <c r="F53" s="20">
        <f>IFERROR(TB_Saídas[[#This Row],[Quantidade Vendida]]*TB_Saídas[[#This Row],[Preço Unitário]],"Não foi possível calcular")</f>
        <v>350</v>
      </c>
    </row>
    <row r="54" spans="2:6" ht="18" x14ac:dyDescent="0.35">
      <c r="B54" s="17">
        <v>44865</v>
      </c>
      <c r="C54" s="18" t="s">
        <v>6</v>
      </c>
      <c r="D54" s="11">
        <v>30</v>
      </c>
      <c r="E54" s="24" cm="1">
        <f t="array" ref="E54">_xlfn.XLOOKUP(TB_Saídas[[#This Row],[Produto]],TB_Produtos[[#All],[Produto]],TB_Produtos[[#All],[Preço Unitário]],"Produto não Encontrado",0,1)</f>
        <v>6</v>
      </c>
      <c r="F54" s="20">
        <f>IFERROR(TB_Saídas[[#This Row],[Quantidade Vendida]]*TB_Saídas[[#This Row],[Preço Unitário]],"Não foi possível calcular")</f>
        <v>180</v>
      </c>
    </row>
    <row r="55" spans="2:6" ht="18" x14ac:dyDescent="0.35">
      <c r="B55" s="17">
        <v>44869</v>
      </c>
      <c r="C55" s="18" t="s">
        <v>10</v>
      </c>
      <c r="D55" s="11">
        <v>30</v>
      </c>
      <c r="E55" s="24" cm="1">
        <f t="array" ref="E55">_xlfn.XLOOKUP(TB_Saídas[[#This Row],[Produto]],TB_Produtos[[#All],[Produto]],TB_Produtos[[#All],[Preço Unitário]],"Produto não Encontrado",0,1)</f>
        <v>6.5</v>
      </c>
      <c r="F55" s="20">
        <f>IFERROR(TB_Saídas[[#This Row],[Quantidade Vendida]]*TB_Saídas[[#This Row],[Preço Unitário]],"Não foi possível calcular")</f>
        <v>195</v>
      </c>
    </row>
    <row r="56" spans="2:6" ht="18" x14ac:dyDescent="0.35">
      <c r="B56" s="17">
        <v>44870</v>
      </c>
      <c r="C56" s="18" t="s">
        <v>25</v>
      </c>
      <c r="D56" s="11">
        <v>15</v>
      </c>
      <c r="E56" s="24" cm="1">
        <f t="array" ref="E56">_xlfn.XLOOKUP(TB_Saídas[[#This Row],[Produto]],TB_Produtos[[#All],[Produto]],TB_Produtos[[#All],[Preço Unitário]],"Produto não Encontrado",0,1)</f>
        <v>7.5</v>
      </c>
      <c r="F56" s="20">
        <f>IFERROR(TB_Saídas[[#This Row],[Quantidade Vendida]]*TB_Saídas[[#This Row],[Preço Unitário]],"Não foi possível calcular")</f>
        <v>112.5</v>
      </c>
    </row>
    <row r="57" spans="2:6" ht="18" x14ac:dyDescent="0.35">
      <c r="B57" s="17">
        <v>44872</v>
      </c>
      <c r="C57" s="18" t="s">
        <v>6</v>
      </c>
      <c r="D57" s="11">
        <v>50</v>
      </c>
      <c r="E57" s="24" cm="1">
        <f t="array" ref="E57">_xlfn.XLOOKUP(TB_Saídas[[#This Row],[Produto]],TB_Produtos[[#All],[Produto]],TB_Produtos[[#All],[Preço Unitário]],"Produto não Encontrado",0,1)</f>
        <v>6</v>
      </c>
      <c r="F57" s="20">
        <f>IFERROR(TB_Saídas[[#This Row],[Quantidade Vendida]]*TB_Saídas[[#This Row],[Preço Unitário]],"Não foi possível calcular")</f>
        <v>300</v>
      </c>
    </row>
    <row r="58" spans="2:6" ht="18" x14ac:dyDescent="0.35">
      <c r="B58" s="17">
        <v>44886</v>
      </c>
      <c r="C58" s="18" t="s">
        <v>19</v>
      </c>
      <c r="D58" s="11">
        <v>24</v>
      </c>
      <c r="E58" s="24" cm="1">
        <f t="array" ref="E58">_xlfn.XLOOKUP(TB_Saídas[[#This Row],[Produto]],TB_Produtos[[#All],[Produto]],TB_Produtos[[#All],[Preço Unitário]],"Produto não Encontrado",0,1)</f>
        <v>8.5</v>
      </c>
      <c r="F58" s="20">
        <f>IFERROR(TB_Saídas[[#This Row],[Quantidade Vendida]]*TB_Saídas[[#This Row],[Preço Unitário]],"Não foi possível calcular")</f>
        <v>204</v>
      </c>
    </row>
    <row r="59" spans="2:6" ht="18" x14ac:dyDescent="0.35">
      <c r="B59" s="17">
        <v>44897</v>
      </c>
      <c r="C59" s="18" t="s">
        <v>25</v>
      </c>
      <c r="D59" s="11">
        <v>20</v>
      </c>
      <c r="E59" s="24" cm="1">
        <f t="array" ref="E59">_xlfn.XLOOKUP(TB_Saídas[[#This Row],[Produto]],TB_Produtos[[#All],[Produto]],TB_Produtos[[#All],[Preço Unitário]],"Produto não Encontrado",0,1)</f>
        <v>7.5</v>
      </c>
      <c r="F59" s="20">
        <f>IFERROR(TB_Saídas[[#This Row],[Quantidade Vendida]]*TB_Saídas[[#This Row],[Preço Unitário]],"Não foi possível calcular")</f>
        <v>150</v>
      </c>
    </row>
    <row r="60" spans="2:6" ht="18" x14ac:dyDescent="0.35">
      <c r="B60" s="17">
        <v>44905</v>
      </c>
      <c r="C60" s="18" t="s">
        <v>26</v>
      </c>
      <c r="D60" s="11">
        <v>25</v>
      </c>
      <c r="E60" s="24" cm="1">
        <f t="array" ref="E60">_xlfn.XLOOKUP(TB_Saídas[[#This Row],[Produto]],TB_Produtos[[#All],[Produto]],TB_Produtos[[#All],[Preço Unitário]],"Produto não Encontrado",0,1)</f>
        <v>10</v>
      </c>
      <c r="F60" s="20">
        <f>IFERROR(TB_Saídas[[#This Row],[Quantidade Vendida]]*TB_Saídas[[#This Row],[Preço Unitário]],"Não foi possível calcular")</f>
        <v>250</v>
      </c>
    </row>
    <row r="61" spans="2:6" ht="18" x14ac:dyDescent="0.35">
      <c r="B61" s="17">
        <v>44915</v>
      </c>
      <c r="C61" s="18" t="s">
        <v>6</v>
      </c>
      <c r="D61" s="11">
        <v>100</v>
      </c>
      <c r="E61" s="24" cm="1">
        <f t="array" ref="E61">_xlfn.XLOOKUP(TB_Saídas[[#This Row],[Produto]],TB_Produtos[[#All],[Produto]],TB_Produtos[[#All],[Preço Unitário]],"Produto não Encontrado",0,1)</f>
        <v>6</v>
      </c>
      <c r="F61" s="20">
        <f>IFERROR(TB_Saídas[[#This Row],[Quantidade Vendida]]*TB_Saídas[[#This Row],[Preço Unitário]],"Não foi possível calcular")</f>
        <v>600</v>
      </c>
    </row>
    <row r="62" spans="2:6" ht="18" x14ac:dyDescent="0.35">
      <c r="B62" s="17">
        <v>44917</v>
      </c>
      <c r="C62" s="18" t="s">
        <v>19</v>
      </c>
      <c r="D62" s="11">
        <v>23</v>
      </c>
      <c r="E62" s="24" cm="1">
        <f t="array" ref="E62">_xlfn.XLOOKUP(TB_Saídas[[#This Row],[Produto]],TB_Produtos[[#All],[Produto]],TB_Produtos[[#All],[Preço Unitário]],"Produto não Encontrado",0,1)</f>
        <v>8.5</v>
      </c>
      <c r="F62" s="20">
        <f>IFERROR(TB_Saídas[[#This Row],[Quantidade Vendida]]*TB_Saídas[[#This Row],[Preço Unitário]],"Não foi possível calcular")</f>
        <v>195.5</v>
      </c>
    </row>
    <row r="63" spans="2:6" x14ac:dyDescent="0.25">
      <c r="B63" s="3"/>
    </row>
  </sheetData>
  <phoneticPr fontId="2" type="noConversion"/>
  <dataValidations count="1">
    <dataValidation type="list" allowBlank="1" showInputMessage="1" showErrorMessage="1" sqref="C6:C62" xr:uid="{C915EF8A-EC10-4320-A524-64111B80C901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35B1888C-FC6A-431E-8AB6-0551F86E501E}">
  <ds:schemaRefs/>
</ds:datastoreItem>
</file>

<file path=customXml/itemProps2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3.xml><?xml version="1.0" encoding="utf-8"?>
<ds:datastoreItem xmlns:ds="http://schemas.openxmlformats.org/officeDocument/2006/customXml" ds:itemID="{74EEE840-E580-4A33-8153-7134E3B80879}">
  <ds:schemaRefs/>
</ds:datastoreItem>
</file>

<file path=customXml/itemProps4.xml><?xml version="1.0" encoding="utf-8"?>
<ds:datastoreItem xmlns:ds="http://schemas.openxmlformats.org/officeDocument/2006/customXml" ds:itemID="{53C6498B-68EA-4C67-9586-3CEC7059E414}">
  <ds:schemaRefs/>
</ds:datastoreItem>
</file>

<file path=customXml/itemProps5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88AD25E-B9FB-415C-9ECF-5493033119BE}">
  <ds:schemaRefs/>
</ds:datastoreItem>
</file>

<file path=customXml/itemProps7.xml><?xml version="1.0" encoding="utf-8"?>
<ds:datastoreItem xmlns:ds="http://schemas.openxmlformats.org/officeDocument/2006/customXml" ds:itemID="{DD4BC02B-4D28-4C09-8FBA-C66C482C0312}">
  <ds:schemaRefs/>
</ds:datastoreItem>
</file>

<file path=customXml/itemProps8.xml><?xml version="1.0" encoding="utf-8"?>
<ds:datastoreItem xmlns:ds="http://schemas.openxmlformats.org/officeDocument/2006/customXml" ds:itemID="{CED1C5E6-B8E5-4AD1-AE26-CB6C7069D6B4}">
  <ds:schemaRefs/>
</ds:datastoreItem>
</file>

<file path=customXml/itemProps9.xml><?xml version="1.0" encoding="utf-8"?>
<ds:datastoreItem xmlns:ds="http://schemas.openxmlformats.org/officeDocument/2006/customXml" ds:itemID="{EB62C265-F175-4972-BB4B-570CF6F9735A}">
  <ds:schemaRefs/>
</ds:datastoreItem>
</file>

<file path=customXml/itemProps10.xml><?xml version="1.0" encoding="utf-8"?>
<ds:datastoreItem xmlns:ds="http://schemas.openxmlformats.org/officeDocument/2006/customXml" ds:itemID="{0A4AAE96-A14B-42D4-838A-B8D7FADCB615}">
  <ds:schemaRefs/>
</ds:datastoreItem>
</file>

<file path=customXml/itemProps11.xml><?xml version="1.0" encoding="utf-8"?>
<ds:datastoreItem xmlns:ds="http://schemas.openxmlformats.org/officeDocument/2006/customXml" ds:itemID="{57C6100C-2BB5-4286-B41C-694EECD25D81}">
  <ds:schemaRefs/>
</ds:datastoreItem>
</file>

<file path=customXml/itemProps12.xml><?xml version="1.0" encoding="utf-8"?>
<ds:datastoreItem xmlns:ds="http://schemas.openxmlformats.org/officeDocument/2006/customXml" ds:itemID="{F4B30471-570F-4558-B82E-87AE6DB68B7B}">
  <ds:schemaRefs/>
</ds:datastoreItem>
</file>

<file path=customXml/itemProps13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C95D67E1-325C-442D-95A5-63D19A5F089D}">
  <ds:schemaRefs/>
</ds:datastoreItem>
</file>

<file path=customXml/itemProps15.xml><?xml version="1.0" encoding="utf-8"?>
<ds:datastoreItem xmlns:ds="http://schemas.openxmlformats.org/officeDocument/2006/customXml" ds:itemID="{51C32538-6345-440D-B03B-8D89919B4E26}">
  <ds:schemaRefs/>
</ds:datastoreItem>
</file>

<file path=customXml/itemProps16.xml><?xml version="1.0" encoding="utf-8"?>
<ds:datastoreItem xmlns:ds="http://schemas.openxmlformats.org/officeDocument/2006/customXml" ds:itemID="{54A716E4-7245-49EE-883E-C33F59555EDD}">
  <ds:schemaRefs/>
</ds:datastoreItem>
</file>

<file path=customXml/itemProps17.xml><?xml version="1.0" encoding="utf-8"?>
<ds:datastoreItem xmlns:ds="http://schemas.openxmlformats.org/officeDocument/2006/customXml" ds:itemID="{46D2DA11-3DB5-457C-9AD7-30D8F1383C04}">
  <ds:schemaRefs/>
</ds:datastoreItem>
</file>

<file path=customXml/itemProps18.xml><?xml version="1.0" encoding="utf-8"?>
<ds:datastoreItem xmlns:ds="http://schemas.openxmlformats.org/officeDocument/2006/customXml" ds:itemID="{09649913-0039-4F15-A71F-1C1BD3B8EADF}">
  <ds:schemaRefs/>
</ds:datastoreItem>
</file>

<file path=customXml/itemProps19.xml><?xml version="1.0" encoding="utf-8"?>
<ds:datastoreItem xmlns:ds="http://schemas.openxmlformats.org/officeDocument/2006/customXml" ds:itemID="{20B6F5ED-0ACB-43CC-994B-2898282E4C34}">
  <ds:schemaRefs/>
</ds:datastoreItem>
</file>

<file path=customXml/itemProps20.xml><?xml version="1.0" encoding="utf-8"?>
<ds:datastoreItem xmlns:ds="http://schemas.openxmlformats.org/officeDocument/2006/customXml" ds:itemID="{F882F8E7-D218-4CEA-A078-B608EC68B578}">
  <ds:schemaRefs/>
</ds:datastoreItem>
</file>

<file path=customXml/itemProps21.xml><?xml version="1.0" encoding="utf-8"?>
<ds:datastoreItem xmlns:ds="http://schemas.openxmlformats.org/officeDocument/2006/customXml" ds:itemID="{6EAF48AC-CF8C-4456-BFA8-0BB5BAA3A192}">
  <ds:schemaRefs/>
</ds:datastoreItem>
</file>

<file path=customXml/itemProps22.xml><?xml version="1.0" encoding="utf-8"?>
<ds:datastoreItem xmlns:ds="http://schemas.openxmlformats.org/officeDocument/2006/customXml" ds:itemID="{F1BB96EC-CCF5-496A-90C4-6151824A3F23}">
  <ds:schemaRefs/>
</ds:datastoreItem>
</file>

<file path=customXml/itemProps23.xml><?xml version="1.0" encoding="utf-8"?>
<ds:datastoreItem xmlns:ds="http://schemas.openxmlformats.org/officeDocument/2006/customXml" ds:itemID="{70F4CA14-1C17-4EF5-8DA1-3CB36DB09B54}">
  <ds:schemaRefs/>
</ds:datastoreItem>
</file>

<file path=customXml/itemProps24.xml><?xml version="1.0" encoding="utf-8"?>
<ds:datastoreItem xmlns:ds="http://schemas.openxmlformats.org/officeDocument/2006/customXml" ds:itemID="{BAD07A46-2AA0-4D23-B63A-4B654B56D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Dinâmica Relacionada</vt:lpstr>
      <vt:lpstr>Quantidades por Mês</vt:lpstr>
      <vt:lpstr>Custo por Mês</vt:lpstr>
      <vt:lpstr>Produtos</vt:lpstr>
      <vt:lpstr>Fornecedor</vt:lpstr>
      <vt:lpstr>Entradas</vt:lpstr>
      <vt:lpstr>Saídas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Thierry Lucas Chaves</cp:lastModifiedBy>
  <cp:revision/>
  <dcterms:created xsi:type="dcterms:W3CDTF">2022-11-17T13:49:56Z</dcterms:created>
  <dcterms:modified xsi:type="dcterms:W3CDTF">2026-06-13T22:30:59Z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