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6\BI_com_Excel_Trabalhando_com_tabelas_dinamicas_com_Power_Pivot\05_Finalizando_tabelas\db\"/>
    </mc:Choice>
  </mc:AlternateContent>
  <xr:revisionPtr revIDLastSave="0" documentId="13_ncr:1_{B302166B-3EAE-49B2-9B24-88E293412577}" xr6:coauthVersionLast="47" xr6:coauthVersionMax="47" xr10:uidLastSave="{00000000-0000-0000-0000-000000000000}"/>
  <bookViews>
    <workbookView xWindow="-120" yWindow="-120" windowWidth="29040" windowHeight="15720" tabRatio="781" activeTab="7" xr2:uid="{87BE7180-3E81-4FE5-B433-FFDBA552102C}"/>
  </bookViews>
  <sheets>
    <sheet name="Dinâmica Relacionada" sheetId="12" r:id="rId1"/>
    <sheet name="Planilha2" sheetId="16" r:id="rId2"/>
    <sheet name="Custo Por Mês" sheetId="14" r:id="rId3"/>
    <sheet name="Quantidades Por Mês" sheetId="13" r:id="rId4"/>
    <sheet name="Produtos" sheetId="2" r:id="rId5"/>
    <sheet name="Fornecedor" sheetId="3" r:id="rId6"/>
    <sheet name="Entradas" sheetId="4" r:id="rId7"/>
    <sheet name="Planilha1" sheetId="17" r:id="rId8"/>
    <sheet name="Saídas" sheetId="5" r:id="rId9"/>
  </sheets>
  <definedNames>
    <definedName name="_xlcn.WorksheetConnection_ControledeEstoqueSerenattoCaféeBistrô.xlsxTB_Entradas1" hidden="1">TB_Entradas[]</definedName>
    <definedName name="_xlcn.WorksheetConnection_ControledeEstoqueSerenattoCaféeBistrô.xlsxTB_Fornecedor1" hidden="1">TB_Fornecedor[]</definedName>
    <definedName name="_xlcn.WorksheetConnection_ControledeEstoqueSerenattoCaféeBistrô.xlsxTB_Produtos1" hidden="1">TB_Produtos[]</definedName>
    <definedName name="_xlcn.WorksheetConnection_SerenattoCaféeBistrôFINALAULA4.xlsxTB_Saídas1" hidden="1">TB_Saídas[]</definedName>
    <definedName name="Lista_Produtos">TB_Produtos[[#All],[Produto]]</definedName>
    <definedName name="SegmentaçãodeDados_Data__Mês">#N/A</definedName>
  </definedNames>
  <calcPr calcId="191028"/>
  <pivotCaches>
    <pivotCache cacheId="61" r:id="rId10"/>
    <pivotCache cacheId="62" r:id="rId11"/>
    <pivotCache cacheId="63" r:id="rId12"/>
  </pivotCaches>
  <extLst>
    <ext xmlns:x14="http://schemas.microsoft.com/office/spreadsheetml/2009/9/main" uri="{876F7934-8845-4945-9796-88D515C7AA90}">
      <x14:pivotCaches>
        <pivotCache cacheId="42" r:id="rId13"/>
      </x14:pivotCaches>
    </ex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65" r:id="rId15"/>
        <pivotCache cacheId="66" r:id="rId16"/>
        <pivotCache cacheId="67" r:id="rId17"/>
        <pivotCache cacheId="68" r:id="rId18"/>
        <pivotCache cacheId="74" r:id="rId19"/>
      </x15:pivotCaches>
    </ext>
    <ext xmlns:x15="http://schemas.microsoft.com/office/spreadsheetml/2010/11/main" uri="{983426D0-5260-488c-9760-48F4B6AC55F4}">
      <x15:pivotTableReferences>
        <x15:pivotTableReference r:id="rId20"/>
        <x15:pivotTableReference r:id="rId21"/>
        <x15:pivotTableReference r:id="rId22"/>
        <x15:pivotTableReference r:id="rId23"/>
        <x15:pivotTableReference r:id="rId24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_Produtos" name="TB_Produtos" connection="WorksheetConnection_Controle de Estoque Serenatto Café e Bistrô.xlsx!TB_Produtos"/>
          <x15:modelTable id="TB_Fornecedor" name="TB_Fornecedor" connection="WorksheetConnection_Controle de Estoque Serenatto Café e Bistrô.xlsx!TB_Fornecedor"/>
          <x15:modelTable id="TB_Entradas" name="TB_Entradas" connection="WorksheetConnection_Controle de Estoque Serenatto Café e Bistrô.xlsx!TB_Entradas"/>
          <x15:modelTable id="TB_Saídas" name="TB_Saídas" connection="WorksheetConnection_Serenatto Café e Bistrô - FINAL AULA 4.xlsx!TB_Saídas"/>
        </x15:modelTables>
        <x15:modelRelationships>
          <x15:modelRelationship fromTable="TB_Entradas" fromColumn="Produto" toTable="TB_Produtos" toColumn="Código"/>
          <x15:modelRelationship fromTable="TB_Entradas" fromColumn="Fornecedor" toTable="TB_Fornecedor" toColumn="Código"/>
          <x15:modelRelationship fromTable="TB_Saídas" fromColumn="Código Produto" toTable="TB_Produto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Entra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5" l="1" a="1"/>
  <c r="C7" i="5" a="1"/>
  <c r="C8" i="5" a="1"/>
  <c r="C9" i="5" a="1"/>
  <c r="C10" i="5" a="1"/>
  <c r="C11" i="5" a="1"/>
  <c r="C12" i="5" a="1"/>
  <c r="C13" i="5" a="1"/>
  <c r="C14" i="5" a="1"/>
  <c r="C15" i="5" a="1"/>
  <c r="C16" i="5" a="1"/>
  <c r="C17" i="5" a="1"/>
  <c r="C18" i="5" a="1"/>
  <c r="C19" i="5" a="1"/>
  <c r="C20" i="5" a="1"/>
  <c r="C21" i="5" a="1"/>
  <c r="C22" i="5" a="1"/>
  <c r="C23" i="5" a="1"/>
  <c r="C24" i="5" a="1"/>
  <c r="C25" i="5" a="1"/>
  <c r="C26" i="5" a="1"/>
  <c r="C27" i="5" a="1"/>
  <c r="C28" i="5" a="1"/>
  <c r="C29" i="5" a="1"/>
  <c r="C30" i="5" a="1"/>
  <c r="C31" i="5" a="1"/>
  <c r="C32" i="5" a="1"/>
  <c r="C33" i="5" a="1"/>
  <c r="C34" i="5" a="1"/>
  <c r="C35" i="5" a="1"/>
  <c r="C36" i="5" a="1"/>
  <c r="C37" i="5" a="1"/>
  <c r="C38" i="5" a="1"/>
  <c r="C39" i="5" a="1"/>
  <c r="C40" i="5" a="1"/>
  <c r="C41" i="5" a="1"/>
  <c r="C42" i="5" a="1"/>
  <c r="C43" i="5" a="1"/>
  <c r="C44" i="5" a="1"/>
  <c r="C45" i="5" a="1"/>
  <c r="C46" i="5" a="1"/>
  <c r="C47" i="5" a="1"/>
  <c r="C48" i="5" a="1"/>
  <c r="C49" i="5" a="1"/>
  <c r="C50" i="5" a="1"/>
  <c r="C51" i="5" a="1"/>
  <c r="C52" i="5" a="1"/>
  <c r="C53" i="5" a="1"/>
  <c r="C54" i="5" a="1"/>
  <c r="C55" i="5" a="1"/>
  <c r="C56" i="5" a="1"/>
  <c r="C57" i="5" a="1"/>
  <c r="C58" i="5" a="1"/>
  <c r="C59" i="5" a="1"/>
  <c r="C60" i="5" a="1"/>
  <c r="C61" i="5" a="1"/>
  <c r="C62" i="5" a="1"/>
  <c r="F60" i="5" a="1"/>
  <c r="G60" i="5" s="1"/>
  <c r="F59" i="5" a="1"/>
  <c r="G59" i="5" s="1"/>
  <c r="F56" i="5" a="1"/>
  <c r="G56" i="5" s="1"/>
  <c r="F51" i="5" a="1"/>
  <c r="G51" i="5" s="1"/>
  <c r="F47" i="5" a="1"/>
  <c r="G47" i="5" s="1"/>
  <c r="F37" i="5" a="1"/>
  <c r="G37" i="5" s="1"/>
  <c r="F31" i="5" a="1"/>
  <c r="G31" i="5" s="1"/>
  <c r="F22" i="5" a="1"/>
  <c r="G22" i="5" s="1"/>
  <c r="F15" i="5" a="1"/>
  <c r="G15" i="5" s="1"/>
  <c r="F8" i="5" a="1"/>
  <c r="G8" i="5" s="1"/>
  <c r="F49" i="5" a="1"/>
  <c r="G49" i="5" s="1"/>
  <c r="F45" i="5" a="1"/>
  <c r="G45" i="5" s="1"/>
  <c r="F39" i="5" a="1"/>
  <c r="G39" i="5" s="1"/>
  <c r="F36" i="5" a="1"/>
  <c r="G36" i="5" s="1"/>
  <c r="F27" i="5" a="1"/>
  <c r="G27" i="5" s="1"/>
  <c r="F23" i="5" a="1"/>
  <c r="G23" i="5" s="1"/>
  <c r="F16" i="5" a="1"/>
  <c r="G16" i="5" s="1"/>
  <c r="F12" i="5" a="1"/>
  <c r="G12" i="5" s="1"/>
  <c r="F9" i="5" a="1"/>
  <c r="G9" i="5" s="1"/>
  <c r="F52" i="5" a="1"/>
  <c r="G52" i="5" s="1"/>
  <c r="F48" i="5" a="1"/>
  <c r="G48" i="5" s="1"/>
  <c r="F38" i="5" a="1"/>
  <c r="G38" i="5" s="1"/>
  <c r="F35" i="5" a="1"/>
  <c r="G35" i="5" s="1"/>
  <c r="F32" i="5" a="1"/>
  <c r="G32" i="5" s="1"/>
  <c r="F28" i="5" a="1"/>
  <c r="G28" i="5" s="1"/>
  <c r="F17" i="5" a="1"/>
  <c r="G17" i="5" s="1"/>
  <c r="F13" i="5" a="1"/>
  <c r="G13" i="5" s="1"/>
  <c r="F30" i="5" l="1" a="1"/>
  <c r="G30" i="5" s="1"/>
  <c r="F62" i="5" a="1"/>
  <c r="G62" i="5" s="1"/>
  <c r="F42" i="5" a="1"/>
  <c r="G42" i="5" s="1"/>
  <c r="F6" i="5" l="1" a="1"/>
  <c r="F11" i="5" l="1" a="1"/>
  <c r="F7" i="5" a="1"/>
  <c r="F10" i="5" a="1"/>
  <c r="F14" i="5" a="1"/>
  <c r="F18" i="5" a="1"/>
  <c r="F19" i="5" a="1"/>
  <c r="F20" i="5" a="1"/>
  <c r="F21" i="5" a="1"/>
  <c r="F24" i="5" a="1"/>
  <c r="F25" i="5" a="1"/>
  <c r="F26" i="5" a="1"/>
  <c r="F29" i="5" a="1"/>
  <c r="F33" i="5" a="1"/>
  <c r="F34" i="5" a="1"/>
  <c r="F40" i="5" a="1"/>
  <c r="F41" i="5" a="1"/>
  <c r="F43" i="5" a="1"/>
  <c r="F44" i="5" a="1"/>
  <c r="F46" i="5" a="1"/>
  <c r="F50" i="5" a="1"/>
  <c r="F53" i="5" a="1"/>
  <c r="F54" i="5" a="1"/>
  <c r="F55" i="5" a="1"/>
  <c r="F57" i="5" a="1"/>
  <c r="F58" i="5" a="1"/>
  <c r="F61" i="5" a="1"/>
  <c r="G6" i="5" l="1"/>
  <c r="G7" i="5"/>
  <c r="G10" i="5"/>
  <c r="G11" i="5"/>
  <c r="G14" i="5"/>
  <c r="G18" i="5"/>
  <c r="G19" i="5"/>
  <c r="G20" i="5"/>
  <c r="G21" i="5"/>
  <c r="G24" i="5"/>
  <c r="G25" i="5"/>
  <c r="G26" i="5"/>
  <c r="G29" i="5"/>
  <c r="G33" i="5"/>
  <c r="G34" i="5"/>
  <c r="G40" i="5"/>
  <c r="G41" i="5"/>
  <c r="G43" i="5"/>
  <c r="G44" i="5"/>
  <c r="G46" i="5"/>
  <c r="G50" i="5"/>
  <c r="G53" i="5"/>
  <c r="G54" i="5"/>
  <c r="G55" i="5"/>
  <c r="G57" i="5"/>
  <c r="G58" i="5"/>
  <c r="G6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FC6EB8-CF8D-44F9-AE20-9F62CA69B1F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0E002A4-BC41-4D2E-90E7-8EBEF7EB9120}" name="WorksheetConnection_Controle de Estoque Serenatto Café e Bistrô.xlsx!TB_Entradas" type="102" refreshedVersion="8" minRefreshableVersion="5">
    <extLst>
      <ext xmlns:x15="http://schemas.microsoft.com/office/spreadsheetml/2010/11/main" uri="{DE250136-89BD-433C-8126-D09CA5730AF9}">
        <x15:connection id="TB_Entradas">
          <x15:rangePr sourceName="_xlcn.WorksheetConnection_ControledeEstoqueSerenattoCaféeBistrô.xlsxTB_Entradas1"/>
        </x15:connection>
      </ext>
    </extLst>
  </connection>
  <connection id="3" xr16:uid="{791A3284-2EDF-4FE4-9D44-F28E2AEC5ACF}" name="WorksheetConnection_Controle de Estoque Serenatto Café e Bistrô.xlsx!TB_Fornecedor" type="102" refreshedVersion="8" minRefreshableVersion="5">
    <extLst>
      <ext xmlns:x15="http://schemas.microsoft.com/office/spreadsheetml/2010/11/main" uri="{DE250136-89BD-433C-8126-D09CA5730AF9}">
        <x15:connection id="TB_Fornecedor">
          <x15:rangePr sourceName="_xlcn.WorksheetConnection_ControledeEstoqueSerenattoCaféeBistrô.xlsxTB_Fornecedor1"/>
        </x15:connection>
      </ext>
    </extLst>
  </connection>
  <connection id="4" xr16:uid="{0737F4CB-CD33-479E-A878-02F729F35510}" name="WorksheetConnection_Controle de Estoque Serenatto Café e Bistrô.xlsx!TB_Produtos" type="102" refreshedVersion="8" minRefreshableVersion="5">
    <extLst>
      <ext xmlns:x15="http://schemas.microsoft.com/office/spreadsheetml/2010/11/main" uri="{DE250136-89BD-433C-8126-D09CA5730AF9}">
        <x15:connection id="TB_Produtos">
          <x15:rangePr sourceName="_xlcn.WorksheetConnection_ControledeEstoqueSerenattoCaféeBistrô.xlsxTB_Produtos1"/>
        </x15:connection>
      </ext>
    </extLst>
  </connection>
  <connection id="5" xr16:uid="{B15F80BB-FC7F-49DD-AB09-9CCF4AE973FF}" name="WorksheetConnection_Serenatto Café e Bistrô - FINAL AULA 4.xlsx!TB_Saídas" type="102" refreshedVersion="8" minRefreshableVersion="5">
    <extLst>
      <ext xmlns:x15="http://schemas.microsoft.com/office/spreadsheetml/2010/11/main" uri="{DE250136-89BD-433C-8126-D09CA5730AF9}">
        <x15:connection id="TB_Saídas">
          <x15:rangePr sourceName="_xlcn.WorksheetConnection_SerenattoCaféeBistrôFINALAULA4.xlsxTB_Saída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<sst xmlns="http://schemas.openxmlformats.org/spreadsheetml/2006/main" count="209" uniqueCount="87">
  <si>
    <t>Cadastro de Produtos</t>
  </si>
  <si>
    <t>Produto</t>
  </si>
  <si>
    <t>Unidade de Medida</t>
  </si>
  <si>
    <t>Estoque Mínimo</t>
  </si>
  <si>
    <t>Custo Unitário</t>
  </si>
  <si>
    <t>Preço Unitário</t>
  </si>
  <si>
    <t>Café</t>
  </si>
  <si>
    <t xml:space="preserve">Unidade </t>
  </si>
  <si>
    <t>Pão</t>
  </si>
  <si>
    <t>Kg</t>
  </si>
  <si>
    <t>Coxinha</t>
  </si>
  <si>
    <t>Esfiha</t>
  </si>
  <si>
    <t>Risoles</t>
  </si>
  <si>
    <t>Empada</t>
  </si>
  <si>
    <t>Quibe</t>
  </si>
  <si>
    <t>Chá</t>
  </si>
  <si>
    <t>Unidade</t>
  </si>
  <si>
    <t>Manteiga</t>
  </si>
  <si>
    <t>Requeijão</t>
  </si>
  <si>
    <t>Chocolate Quente</t>
  </si>
  <si>
    <t>Caixa</t>
  </si>
  <si>
    <t xml:space="preserve">Leite </t>
  </si>
  <si>
    <t>Açúcar</t>
  </si>
  <si>
    <t>Mini Pizza</t>
  </si>
  <si>
    <t>Chantilly</t>
  </si>
  <si>
    <t>Pão de Queijo</t>
  </si>
  <si>
    <t>Suco de Laranja</t>
  </si>
  <si>
    <t>Hamburguer</t>
  </si>
  <si>
    <t>Frango</t>
  </si>
  <si>
    <t xml:space="preserve">Água </t>
  </si>
  <si>
    <t>Embalagem</t>
  </si>
  <si>
    <t>Cerveja</t>
  </si>
  <si>
    <t>Queijo</t>
  </si>
  <si>
    <t>Presunto</t>
  </si>
  <si>
    <t>Mortadela</t>
  </si>
  <si>
    <t>Peito de Peru</t>
  </si>
  <si>
    <t>Refrigerante</t>
  </si>
  <si>
    <t>Enroladinho</t>
  </si>
  <si>
    <t>Cadastro de Fornecedor</t>
  </si>
  <si>
    <t>Empresa</t>
  </si>
  <si>
    <t>Telefone</t>
  </si>
  <si>
    <t>Responsável</t>
  </si>
  <si>
    <t>E-mail</t>
  </si>
  <si>
    <t>Mercado Express</t>
  </si>
  <si>
    <t>(11) 1122-4422</t>
  </si>
  <si>
    <t>Maria</t>
  </si>
  <si>
    <t>maria@mercadoexpress.com.br</t>
  </si>
  <si>
    <t>Frigorífico Z</t>
  </si>
  <si>
    <t>(11) 1001-2022</t>
  </si>
  <si>
    <t>Carlos</t>
  </si>
  <si>
    <t>carlos@frigoríficoz.com.br</t>
  </si>
  <si>
    <t>Distribuídora KS</t>
  </si>
  <si>
    <t>(11) 1300-4033</t>
  </si>
  <si>
    <t>Eduardo</t>
  </si>
  <si>
    <t>eduardo@distribuídoraks.com.br</t>
  </si>
  <si>
    <t xml:space="preserve"> </t>
  </si>
  <si>
    <t>Salgados Gran</t>
  </si>
  <si>
    <t>(11) 1400-3022</t>
  </si>
  <si>
    <t>Claudia</t>
  </si>
  <si>
    <t>claudia@salgadosgran.com.br</t>
  </si>
  <si>
    <t>Controle de Entradas</t>
  </si>
  <si>
    <t>Data</t>
  </si>
  <si>
    <t>Fornecedor</t>
  </si>
  <si>
    <t>Quantidade Comprada</t>
  </si>
  <si>
    <t>Controle de Saídas</t>
  </si>
  <si>
    <t>Quantidade Vendida</t>
  </si>
  <si>
    <t>Valor de Venda</t>
  </si>
  <si>
    <t>Rótulos de Linha</t>
  </si>
  <si>
    <t>Total Geral</t>
  </si>
  <si>
    <t>Água</t>
  </si>
  <si>
    <t>Código</t>
  </si>
  <si>
    <t>Soma de Quantidade Comprada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</si>
  <si>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</si>
  <si>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</si>
  <si>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</si>
  <si>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</si>
  <si>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</si>
  <si>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</si>
  <si>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</si>
  <si>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</si>
  <si>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</si>
  <si>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</si>
  <si>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</si>
  <si>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</si>
  <si>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</si>
  <si>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Custo Compra</t>
  </si>
  <si>
    <t>Código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</si>
</sst>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70" formatCode="&quot;R$&quot;\ #,##0.00;\-&quot;R$&quot;\ #,##0.00;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Barlow"/>
    </font>
    <font>
      <b/>
      <sz val="24"/>
      <color theme="0"/>
      <name val="Barlow ExtraBold"/>
    </font>
    <font>
      <b/>
      <sz val="11"/>
      <color rgb="FF093364"/>
      <name val="Calibri"/>
      <family val="2"/>
      <scheme val="minor"/>
    </font>
    <font>
      <sz val="11"/>
      <color rgb="FF093364"/>
      <name val="Barlow"/>
    </font>
  </fonts>
  <fills count="5">
    <fill>
      <patternFill patternType="none"/>
    </fill>
    <fill>
      <patternFill patternType="gray125"/>
    </fill>
    <fill>
      <patternFill patternType="solid">
        <fgColor rgb="FF313829"/>
        <bgColor indexed="64"/>
      </patternFill>
    </fill>
    <fill>
      <patternFill patternType="solid">
        <fgColor rgb="FFB39563"/>
        <bgColor indexed="64"/>
      </patternFill>
    </fill>
    <fill>
      <patternFill patternType="solid">
        <fgColor rgb="FF9B835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2" borderId="0" xfId="0" applyFill="1"/>
    <xf numFmtId="44" fontId="0" fillId="2" borderId="0" xfId="1" applyFont="1" applyFill="1"/>
    <xf numFmtId="0" fontId="0" fillId="4" borderId="0" xfId="0" applyFill="1"/>
    <xf numFmtId="44" fontId="0" fillId="4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 applyFill="1" applyBorder="1"/>
    <xf numFmtId="0" fontId="7" fillId="2" borderId="0" xfId="0" applyFont="1" applyFill="1" applyAlignment="1">
      <alignment vertical="center"/>
    </xf>
    <xf numFmtId="44" fontId="0" fillId="2" borderId="0" xfId="1" applyFont="1" applyFill="1" applyAlignment="1"/>
    <xf numFmtId="14" fontId="4" fillId="3" borderId="0" xfId="0" applyNumberFormat="1" applyFont="1" applyFill="1" applyAlignment="1">
      <alignment horizontal="center" vertical="center" wrapText="1"/>
    </xf>
    <xf numFmtId="14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1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right"/>
    </xf>
    <xf numFmtId="0" fontId="6" fillId="0" borderId="0" xfId="1" applyNumberFormat="1" applyFon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5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4" fontId="8" fillId="3" borderId="0" xfId="0" applyNumberFormat="1" applyFont="1" applyFill="1" applyAlignment="1">
      <alignment horizontal="center" vertical="center" wrapText="1"/>
    </xf>
    <xf numFmtId="164" fontId="9" fillId="0" borderId="0" xfId="1" applyNumberFormat="1" applyFont="1"/>
    <xf numFmtId="164" fontId="9" fillId="0" borderId="0" xfId="0" applyNumberFormat="1" applyFont="1"/>
    <xf numFmtId="0" fontId="6" fillId="0" borderId="0" xfId="0" applyNumberFormat="1" applyFont="1"/>
    <xf numFmtId="0" fontId="0" fillId="0" borderId="0" xfId="0" applyNumberFormat="1"/>
    <xf numFmtId="170" fontId="0" fillId="0" borderId="0" xfId="0" applyNumberFormat="1"/>
  </cellXfs>
  <cellStyles count="3">
    <cellStyle name="Hyperlink" xfId="2" xr:uid="{00000000-000B-0000-0000-000008000000}"/>
    <cellStyle name="Moeda" xfId="1" builtinId="4"/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rgb="FF093364"/>
        <name val="Barlow"/>
        <scheme val="none"/>
      </font>
      <numFmt numFmtId="164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1"/>
        <color rgb="FF093364"/>
        <name val="Barlow"/>
        <scheme val="none"/>
      </font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arlow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numFmt numFmtId="164" formatCode="_-[$R$-416]\ * #,##0.00_-;\-[$R$-416]\ * #,##0.00_-;_-[$R$-416]\ 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Barl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rgb="FFB39563"/>
        </patternFill>
      </fill>
      <alignment horizontal="center" vertical="bottom" textRotation="0" wrapText="0" indent="0" justifyLastLine="0" shrinkToFit="0" readingOrder="0"/>
    </dxf>
    <dxf>
      <fill>
        <patternFill>
          <bgColor rgb="FF002060"/>
        </patternFill>
      </fill>
    </dxf>
  </dxfs>
  <tableStyles count="1" defaultTableStyle="TableStyleMedium2" defaultPivotStyle="PivotStyleLight16">
    <tableStyle name="Estilo de Tabela 1" pivot="0" count="1" xr9:uid="{7A5046BA-566E-471B-A33D-508741E9D76C}">
      <tableStyleElement type="wholeTable" dxfId="29"/>
    </tableStyle>
  </tableStyles>
  <colors>
    <mruColors>
      <color rgb="FFB39563"/>
      <color rgb="FF313829"/>
      <color rgb="FF1A261A"/>
      <color rgb="FF787674"/>
      <color rgb="FF373A3A"/>
      <color rgb="FF343C2C"/>
      <color rgb="FFEBC282"/>
      <color rgb="FFE7B667"/>
      <color rgb="FFA58C5F"/>
      <color rgb="FFB29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8.xml"/><Relationship Id="rId26" Type="http://schemas.openxmlformats.org/officeDocument/2006/relationships/connections" Target="connections.xml"/><Relationship Id="rId39" Type="http://schemas.openxmlformats.org/officeDocument/2006/relationships/customXml" Target="../customXml/item8.xml"/><Relationship Id="rId21" Type="http://schemas.openxmlformats.org/officeDocument/2006/relationships/pivotTable" Target="pivotTables/pivotTable2.xml"/><Relationship Id="rId34" Type="http://schemas.openxmlformats.org/officeDocument/2006/relationships/customXml" Target="../customXml/item3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sheetMetadata" Target="metadata.xml"/><Relationship Id="rId11" Type="http://schemas.openxmlformats.org/officeDocument/2006/relationships/pivotCacheDefinition" Target="pivotCache/pivotCacheDefinition2.xml"/><Relationship Id="rId24" Type="http://schemas.openxmlformats.org/officeDocument/2006/relationships/pivotTable" Target="pivotTables/pivotTable5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pivotTable" Target="pivotTables/pivotTable3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7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20" Type="http://schemas.openxmlformats.org/officeDocument/2006/relationships/pivotTable" Target="pivotTables/pivotTable1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5.xml"/><Relationship Id="rId23" Type="http://schemas.openxmlformats.org/officeDocument/2006/relationships/pivotTable" Target="pivotTables/pivotTable4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1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4"/>
              <c:pt idx="0">
                <c:v>Café
jan</c:v>
              </c:pt>
              <c:pt idx="1">
                <c:v>Chocolate Quente
jan</c:v>
              </c:pt>
              <c:pt idx="2">
                <c:v>Coxinha
jan</c:v>
              </c:pt>
              <c:pt idx="3">
                <c:v>Pão de Queijo
jan</c:v>
              </c:pt>
              <c:pt idx="4">
                <c:v>Café
fev</c:v>
              </c:pt>
              <c:pt idx="5">
                <c:v>Cerveja
fev</c:v>
              </c:pt>
              <c:pt idx="6">
                <c:v>Chocolate Quente
fev</c:v>
              </c:pt>
              <c:pt idx="7">
                <c:v>Coxinha
fev</c:v>
              </c:pt>
              <c:pt idx="8">
                <c:v>Pão de Queijo
fev</c:v>
              </c:pt>
              <c:pt idx="9">
                <c:v>Café
mar</c:v>
              </c:pt>
              <c:pt idx="10">
                <c:v>Chocolate Quente
mar</c:v>
              </c:pt>
              <c:pt idx="11">
                <c:v>Coxinha
mar</c:v>
              </c:pt>
              <c:pt idx="12">
                <c:v>Pão de Queijo
mar</c:v>
              </c:pt>
              <c:pt idx="13">
                <c:v>Refrigerante
mar</c:v>
              </c:pt>
              <c:pt idx="14">
                <c:v>Suco de Laranja
mar</c:v>
              </c:pt>
              <c:pt idx="15">
                <c:v>Café
abr</c:v>
              </c:pt>
              <c:pt idx="16">
                <c:v>Chocolate Quente
abr</c:v>
              </c:pt>
              <c:pt idx="17">
                <c:v>Coxinha
abr</c:v>
              </c:pt>
              <c:pt idx="18">
                <c:v>Pão de Queijo
abr</c:v>
              </c:pt>
              <c:pt idx="19">
                <c:v>Café
mai</c:v>
              </c:pt>
              <c:pt idx="20">
                <c:v>Chocolate Quente
mai</c:v>
              </c:pt>
              <c:pt idx="21">
                <c:v>Coxinha
mai</c:v>
              </c:pt>
              <c:pt idx="22">
                <c:v>Hamburguer
mai</c:v>
              </c:pt>
              <c:pt idx="23">
                <c:v>Pão de Queijo
mai</c:v>
              </c:pt>
              <c:pt idx="24">
                <c:v>Café
jun</c:v>
              </c:pt>
              <c:pt idx="25">
                <c:v>Chocolate Quente
jun</c:v>
              </c:pt>
              <c:pt idx="26">
                <c:v>Coxinha
jun</c:v>
              </c:pt>
              <c:pt idx="27">
                <c:v>Pão de Queijo
jun</c:v>
              </c:pt>
              <c:pt idx="28">
                <c:v>Café
jul</c:v>
              </c:pt>
              <c:pt idx="29">
                <c:v>Chocolate Quente
jul</c:v>
              </c:pt>
              <c:pt idx="30">
                <c:v>Coxinha
jul</c:v>
              </c:pt>
              <c:pt idx="31">
                <c:v>Pão de Queijo
jul</c:v>
              </c:pt>
              <c:pt idx="32">
                <c:v>Café
ago</c:v>
              </c:pt>
              <c:pt idx="33">
                <c:v>Chocolate Quente
ago</c:v>
              </c:pt>
              <c:pt idx="34">
                <c:v>Coxinha
ago</c:v>
              </c:pt>
              <c:pt idx="35">
                <c:v>Mini Pizza
ago</c:v>
              </c:pt>
              <c:pt idx="36">
                <c:v>Pão de Queijo
ago</c:v>
              </c:pt>
              <c:pt idx="37">
                <c:v>Café
set</c:v>
              </c:pt>
              <c:pt idx="38">
                <c:v>Chocolate Quente
set</c:v>
              </c:pt>
              <c:pt idx="39">
                <c:v>Coxinha
set</c:v>
              </c:pt>
              <c:pt idx="40">
                <c:v>Frango
set</c:v>
              </c:pt>
              <c:pt idx="41">
                <c:v>Pão de Queijo
set</c:v>
              </c:pt>
              <c:pt idx="42">
                <c:v>Refrigerante
set</c:v>
              </c:pt>
              <c:pt idx="43">
                <c:v>Café
out</c:v>
              </c:pt>
              <c:pt idx="44">
                <c:v>Chocolate Quente
out</c:v>
              </c:pt>
              <c:pt idx="45">
                <c:v>Coxinha
out</c:v>
              </c:pt>
              <c:pt idx="46">
                <c:v>Pão de Queijo
out</c:v>
              </c:pt>
              <c:pt idx="47">
                <c:v>Água
nov</c:v>
              </c:pt>
              <c:pt idx="48">
                <c:v>Café
nov</c:v>
              </c:pt>
              <c:pt idx="49">
                <c:v>Chocolate Quente
nov</c:v>
              </c:pt>
              <c:pt idx="50">
                <c:v>Coxinha
nov</c:v>
              </c:pt>
              <c:pt idx="51">
                <c:v>Pão de Queijo
nov</c:v>
              </c:pt>
              <c:pt idx="52">
                <c:v>Café
dez</c:v>
              </c:pt>
              <c:pt idx="53">
                <c:v>Chocolate Quente
dez</c:v>
              </c:pt>
            </c:strLit>
          </c:cat>
          <c:val>
            <c:numLit>
              <c:formatCode>General</c:formatCode>
              <c:ptCount val="54"/>
              <c:pt idx="0">
                <c:v>100</c:v>
              </c:pt>
              <c:pt idx="1">
                <c:v>90</c:v>
              </c:pt>
              <c:pt idx="2">
                <c:v>100</c:v>
              </c:pt>
              <c:pt idx="3">
                <c:v>100</c:v>
              </c:pt>
              <c:pt idx="4">
                <c:v>125</c:v>
              </c:pt>
              <c:pt idx="5">
                <c:v>50</c:v>
              </c:pt>
              <c:pt idx="6">
                <c:v>80</c:v>
              </c:pt>
              <c:pt idx="7">
                <c:v>100</c:v>
              </c:pt>
              <c:pt idx="8">
                <c:v>85</c:v>
              </c:pt>
              <c:pt idx="9">
                <c:v>150</c:v>
              </c:pt>
              <c:pt idx="10">
                <c:v>40</c:v>
              </c:pt>
              <c:pt idx="11">
                <c:v>50</c:v>
              </c:pt>
              <c:pt idx="12">
                <c:v>50</c:v>
              </c:pt>
              <c:pt idx="13">
                <c:v>250</c:v>
              </c:pt>
              <c:pt idx="14">
                <c:v>100</c:v>
              </c:pt>
              <c:pt idx="15">
                <c:v>150</c:v>
              </c:pt>
              <c:pt idx="16">
                <c:v>60</c:v>
              </c:pt>
              <c:pt idx="17">
                <c:v>50</c:v>
              </c:pt>
              <c:pt idx="18">
                <c:v>90</c:v>
              </c:pt>
              <c:pt idx="19">
                <c:v>100</c:v>
              </c:pt>
              <c:pt idx="20">
                <c:v>45</c:v>
              </c:pt>
              <c:pt idx="21">
                <c:v>50</c:v>
              </c:pt>
              <c:pt idx="22">
                <c:v>60</c:v>
              </c:pt>
              <c:pt idx="23">
                <c:v>30</c:v>
              </c:pt>
              <c:pt idx="24">
                <c:v>150</c:v>
              </c:pt>
              <c:pt idx="25">
                <c:v>115</c:v>
              </c:pt>
              <c:pt idx="26">
                <c:v>45</c:v>
              </c:pt>
              <c:pt idx="27">
                <c:v>100</c:v>
              </c:pt>
              <c:pt idx="28">
                <c:v>150</c:v>
              </c:pt>
              <c:pt idx="29">
                <c:v>120</c:v>
              </c:pt>
              <c:pt idx="30">
                <c:v>20</c:v>
              </c:pt>
              <c:pt idx="31">
                <c:v>60</c:v>
              </c:pt>
              <c:pt idx="32">
                <c:v>150</c:v>
              </c:pt>
              <c:pt idx="33">
                <c:v>35</c:v>
              </c:pt>
              <c:pt idx="34">
                <c:v>30</c:v>
              </c:pt>
              <c:pt idx="35">
                <c:v>100</c:v>
              </c:pt>
              <c:pt idx="36">
                <c:v>30</c:v>
              </c:pt>
              <c:pt idx="37">
                <c:v>180</c:v>
              </c:pt>
              <c:pt idx="38">
                <c:v>34</c:v>
              </c:pt>
              <c:pt idx="39">
                <c:v>15</c:v>
              </c:pt>
              <c:pt idx="40">
                <c:v>50</c:v>
              </c:pt>
              <c:pt idx="41">
                <c:v>20</c:v>
              </c:pt>
              <c:pt idx="42">
                <c:v>100</c:v>
              </c:pt>
              <c:pt idx="43">
                <c:v>100</c:v>
              </c:pt>
              <c:pt idx="44">
                <c:v>46</c:v>
              </c:pt>
              <c:pt idx="45">
                <c:v>55</c:v>
              </c:pt>
              <c:pt idx="46">
                <c:v>35</c:v>
              </c:pt>
              <c:pt idx="47">
                <c:v>100</c:v>
              </c:pt>
              <c:pt idx="48">
                <c:v>80</c:v>
              </c:pt>
              <c:pt idx="49">
                <c:v>45</c:v>
              </c:pt>
              <c:pt idx="50">
                <c:v>35</c:v>
              </c:pt>
              <c:pt idx="51">
                <c:v>20</c:v>
              </c:pt>
              <c:pt idx="52">
                <c:v>200</c:v>
              </c:pt>
              <c:pt idx="53">
                <c:v>40</c:v>
              </c:pt>
            </c:numLit>
          </c:val>
          <c:extLst>
            <c:ext xmlns:c16="http://schemas.microsoft.com/office/drawing/2014/chart" uri="{C3380CC4-5D6E-409C-BE32-E72D297353CC}">
              <c16:uniqueId val="{00000000-C791-4C6E-BEB5-1BCC04972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797823"/>
        <c:axId val="778794463"/>
      </c:barChart>
      <c:catAx>
        <c:axId val="7787978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879446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7879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7879782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5="http://schemas.microsoft.com/office/drawing/2012/chart" uri="{723BEF56-08C2-4564-9609-F4CBC75E7E54}">
      <c15:pivotSource>
        <c15:name>[Serenatto Café e Bistrô - FINAL AULA 4.xlsx]PivotChartTable1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jan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2">
                <c:v>190</c:v>
              </c:pt>
              <c:pt idx="3">
                <c:v>200</c:v>
              </c:pt>
            </c:numLit>
          </c:val>
          <c:extLst>
            <c:ext xmlns:c16="http://schemas.microsoft.com/office/drawing/2014/chart" uri="{C3380CC4-5D6E-409C-BE32-E72D297353CC}">
              <c16:uniqueId val="{00000000-A6FB-4D6E-A98E-56BB1192E4DA}"/>
            </c:ext>
          </c:extLst>
        </c:ser>
        <c:ser>
          <c:idx val="1"/>
          <c:order val="1"/>
          <c:tx>
            <c:v>fev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0">
                <c:v>50</c:v>
              </c:pt>
              <c:pt idx="2">
                <c:v>205</c:v>
              </c:pt>
              <c:pt idx="3">
                <c:v>185</c:v>
              </c:pt>
            </c:numLit>
          </c:val>
          <c:extLst>
            <c:ext xmlns:c16="http://schemas.microsoft.com/office/drawing/2014/chart" uri="{C3380CC4-5D6E-409C-BE32-E72D297353CC}">
              <c16:uniqueId val="{00000001-A6FB-4D6E-A98E-56BB1192E4DA}"/>
            </c:ext>
          </c:extLst>
        </c:ser>
        <c:ser>
          <c:idx val="2"/>
          <c:order val="2"/>
          <c:tx>
            <c:v>mar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0">
                <c:v>250</c:v>
              </c:pt>
              <c:pt idx="2">
                <c:v>290</c:v>
              </c:pt>
              <c:pt idx="3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2-A6FB-4D6E-A98E-56BB1192E4DA}"/>
            </c:ext>
          </c:extLst>
        </c:ser>
        <c:ser>
          <c:idx val="3"/>
          <c:order val="3"/>
          <c:tx>
            <c:v>abr</c:v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2">
                <c:v>210</c:v>
              </c:pt>
              <c:pt idx="3">
                <c:v>140</c:v>
              </c:pt>
            </c:numLit>
          </c:val>
          <c:extLst>
            <c:ext xmlns:c16="http://schemas.microsoft.com/office/drawing/2014/chart" uri="{C3380CC4-5D6E-409C-BE32-E72D297353CC}">
              <c16:uniqueId val="{00000003-A6FB-4D6E-A98E-56BB1192E4DA}"/>
            </c:ext>
          </c:extLst>
        </c:ser>
        <c:ser>
          <c:idx val="4"/>
          <c:order val="4"/>
          <c:tx>
            <c:v>mai</c:v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1">
                <c:v>60</c:v>
              </c:pt>
              <c:pt idx="2">
                <c:v>145</c:v>
              </c:pt>
              <c:pt idx="3">
                <c:v>80</c:v>
              </c:pt>
            </c:numLit>
          </c:val>
          <c:extLst>
            <c:ext xmlns:c16="http://schemas.microsoft.com/office/drawing/2014/chart" uri="{C3380CC4-5D6E-409C-BE32-E72D297353CC}">
              <c16:uniqueId val="{00000004-A6FB-4D6E-A98E-56BB1192E4DA}"/>
            </c:ext>
          </c:extLst>
        </c:ser>
        <c:ser>
          <c:idx val="5"/>
          <c:order val="5"/>
          <c:tx>
            <c:v>jun</c:v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2">
                <c:v>265</c:v>
              </c:pt>
              <c:pt idx="3">
                <c:v>145</c:v>
              </c:pt>
            </c:numLit>
          </c:val>
          <c:extLst>
            <c:ext xmlns:c16="http://schemas.microsoft.com/office/drawing/2014/chart" uri="{C3380CC4-5D6E-409C-BE32-E72D297353CC}">
              <c16:uniqueId val="{00000005-A6FB-4D6E-A98E-56BB1192E4DA}"/>
            </c:ext>
          </c:extLst>
        </c:ser>
        <c:ser>
          <c:idx val="6"/>
          <c:order val="6"/>
          <c:tx>
            <c:v>jul</c:v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2">
                <c:v>270</c:v>
              </c:pt>
              <c:pt idx="3">
                <c:v>80</c:v>
              </c:pt>
            </c:numLit>
          </c:val>
          <c:extLst>
            <c:ext xmlns:c16="http://schemas.microsoft.com/office/drawing/2014/chart" uri="{C3380CC4-5D6E-409C-BE32-E72D297353CC}">
              <c16:uniqueId val="{00000006-A6FB-4D6E-A98E-56BB1192E4DA}"/>
            </c:ext>
          </c:extLst>
        </c:ser>
        <c:ser>
          <c:idx val="7"/>
          <c:order val="7"/>
          <c:tx>
            <c:v>ago</c:v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2">
                <c:v>285</c:v>
              </c:pt>
              <c:pt idx="3">
                <c:v>60</c:v>
              </c:pt>
            </c:numLit>
          </c:val>
          <c:extLst>
            <c:ext xmlns:c16="http://schemas.microsoft.com/office/drawing/2014/chart" uri="{C3380CC4-5D6E-409C-BE32-E72D297353CC}">
              <c16:uniqueId val="{00000007-A6FB-4D6E-A98E-56BB1192E4DA}"/>
            </c:ext>
          </c:extLst>
        </c:ser>
        <c:ser>
          <c:idx val="8"/>
          <c:order val="8"/>
          <c:tx>
            <c:v>set</c:v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0">
                <c:v>100</c:v>
              </c:pt>
              <c:pt idx="1">
                <c:v>50</c:v>
              </c:pt>
              <c:pt idx="2">
                <c:v>214</c:v>
              </c:pt>
              <c:pt idx="3">
                <c:v>35</c:v>
              </c:pt>
            </c:numLit>
          </c:val>
          <c:extLst>
            <c:ext xmlns:c16="http://schemas.microsoft.com/office/drawing/2014/chart" uri="{C3380CC4-5D6E-409C-BE32-E72D297353CC}">
              <c16:uniqueId val="{00000008-A6FB-4D6E-A98E-56BB1192E4DA}"/>
            </c:ext>
          </c:extLst>
        </c:ser>
        <c:ser>
          <c:idx val="9"/>
          <c:order val="9"/>
          <c:tx>
            <c:v>out</c:v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2">
                <c:v>146</c:v>
              </c:pt>
              <c:pt idx="3">
                <c:v>90</c:v>
              </c:pt>
            </c:numLit>
          </c:val>
          <c:extLst>
            <c:ext xmlns:c16="http://schemas.microsoft.com/office/drawing/2014/chart" uri="{C3380CC4-5D6E-409C-BE32-E72D297353CC}">
              <c16:uniqueId val="{00000009-A6FB-4D6E-A98E-56BB1192E4DA}"/>
            </c:ext>
          </c:extLst>
        </c:ser>
        <c:ser>
          <c:idx val="10"/>
          <c:order val="10"/>
          <c:tx>
            <c:v>nov</c:v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0">
                <c:v>100</c:v>
              </c:pt>
              <c:pt idx="2">
                <c:v>125</c:v>
              </c:pt>
              <c:pt idx="3">
                <c:v>55</c:v>
              </c:pt>
            </c:numLit>
          </c:val>
          <c:extLst>
            <c:ext xmlns:c16="http://schemas.microsoft.com/office/drawing/2014/chart" uri="{C3380CC4-5D6E-409C-BE32-E72D297353CC}">
              <c16:uniqueId val="{0000000A-A6FB-4D6E-A98E-56BB1192E4DA}"/>
            </c:ext>
          </c:extLst>
        </c:ser>
        <c:ser>
          <c:idx val="11"/>
          <c:order val="11"/>
          <c:tx>
            <c:v>dez</c:v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Distribuídora KS</c:v>
              </c:pt>
              <c:pt idx="1">
                <c:v>Frigorífico Z</c:v>
              </c:pt>
              <c:pt idx="2">
                <c:v>Mercado Express</c:v>
              </c:pt>
              <c:pt idx="3">
                <c:v>Salgados Gran</c:v>
              </c:pt>
            </c:strLit>
          </c:cat>
          <c:val>
            <c:numLit>
              <c:formatCode>General</c:formatCode>
              <c:ptCount val="4"/>
              <c:pt idx="2">
                <c:v>240</c:v>
              </c:pt>
            </c:numLit>
          </c:val>
          <c:extLst>
            <c:ext xmlns:c16="http://schemas.microsoft.com/office/drawing/2014/chart" uri="{C3380CC4-5D6E-409C-BE32-E72D297353CC}">
              <c16:uniqueId val="{0000000B-A6FB-4D6E-A98E-56BB1192E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789823"/>
        <c:axId val="546793183"/>
      </c:barChart>
      <c:catAx>
        <c:axId val="5467898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79318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4679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78982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5="http://schemas.microsoft.com/office/drawing/2012/chart" uri="{723BEF56-08C2-4564-9609-F4CBC75E7E54}">
      <c15:pivotSource>
        <c15:name>[Serenatto Café e Bistrô - FINAL AULA 4.xlsx]PivotChartTable2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390</c:v>
              </c:pt>
              <c:pt idx="1">
                <c:v>440</c:v>
              </c:pt>
              <c:pt idx="2">
                <c:v>640</c:v>
              </c:pt>
              <c:pt idx="3">
                <c:v>350</c:v>
              </c:pt>
              <c:pt idx="4">
                <c:v>285</c:v>
              </c:pt>
              <c:pt idx="5">
                <c:v>410</c:v>
              </c:pt>
              <c:pt idx="6">
                <c:v>350</c:v>
              </c:pt>
              <c:pt idx="7">
                <c:v>345</c:v>
              </c:pt>
              <c:pt idx="8">
                <c:v>399</c:v>
              </c:pt>
              <c:pt idx="9">
                <c:v>236</c:v>
              </c:pt>
              <c:pt idx="10">
                <c:v>280</c:v>
              </c:pt>
              <c:pt idx="11">
                <c:v>240</c:v>
              </c:pt>
            </c:numLit>
          </c:val>
          <c:extLst>
            <c:ext xmlns:c16="http://schemas.microsoft.com/office/drawing/2014/chart" uri="{C3380CC4-5D6E-409C-BE32-E72D297353CC}">
              <c16:uniqueId val="{00000000-C81A-4486-80A0-9A664BEFB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918767"/>
        <c:axId val="546919247"/>
      </c:barChart>
      <c:catAx>
        <c:axId val="5469187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91924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4691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91876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5="http://schemas.microsoft.com/office/drawing/2012/chart" uri="{723BEF56-08C2-4564-9609-F4CBC75E7E54}">
      <c15:pivotSource>
        <c15:name>[Serenatto Café e Bistrô - FINAL AULA 4.xlsx]PivotChartTable3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327167"/>
        <c:axId val="546326207"/>
      </c:barChart>
      <c:catAx>
        <c:axId val="5463271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326207"/>
        <c:crosses val="autoZero"/>
        <c:auto val="1"/>
        <c:lblAlgn val="ctr"/>
        <c:lblOffset val="100"/>
        <c:noMultiLvlLbl val="0"/>
      </c:catAx>
      <c:valAx>
        <c:axId val="54632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32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5="http://schemas.microsoft.com/office/drawing/2012/chart" uri="{723BEF56-08C2-4564-9609-F4CBC75E7E54}">
      <c15:pivotSource>
        <c15:name>[Serenatto Café e Bistrô - FINAL AULA 4.xlsx]PivotChartTable4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Café</c:v>
              </c:pt>
              <c:pt idx="1">
                <c:v>Cerveja</c:v>
              </c:pt>
              <c:pt idx="2">
                <c:v>Chocolate Quente</c:v>
              </c:pt>
              <c:pt idx="3">
                <c:v>Coxinha</c:v>
              </c:pt>
              <c:pt idx="4">
                <c:v>Frango</c:v>
              </c:pt>
              <c:pt idx="5">
                <c:v>Hamburguer</c:v>
              </c:pt>
              <c:pt idx="6">
                <c:v>Mini Pizza</c:v>
              </c:pt>
              <c:pt idx="7">
                <c:v>Pão de Queijo</c:v>
              </c:pt>
              <c:pt idx="8">
                <c:v>Refrigerante</c:v>
              </c:pt>
              <c:pt idx="9">
                <c:v>Suco de Laranja</c:v>
              </c:pt>
            </c:strLit>
          </c:cat>
          <c:val>
            <c:numLit>
              <c:formatCode>General</c:formatCode>
              <c:ptCount val="10"/>
              <c:pt idx="0">
                <c:v>945</c:v>
              </c:pt>
              <c:pt idx="1">
                <c:v>25</c:v>
              </c:pt>
              <c:pt idx="2">
                <c:v>500</c:v>
              </c:pt>
              <c:pt idx="3">
                <c:v>245</c:v>
              </c:pt>
              <c:pt idx="4">
                <c:v>30</c:v>
              </c:pt>
              <c:pt idx="5">
                <c:v>50</c:v>
              </c:pt>
              <c:pt idx="6">
                <c:v>90</c:v>
              </c:pt>
              <c:pt idx="7">
                <c:v>400</c:v>
              </c:pt>
              <c:pt idx="8">
                <c:v>210</c:v>
              </c:pt>
              <c:pt idx="9">
                <c:v>100</c:v>
              </c:pt>
            </c:numLit>
          </c:val>
          <c:extLst>
            <c:ext xmlns:c16="http://schemas.microsoft.com/office/drawing/2014/chart" uri="{C3380CC4-5D6E-409C-BE32-E72D297353CC}">
              <c16:uniqueId val="{00000000-0662-4013-B2F5-80B35C0E6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11183"/>
        <c:axId val="52911663"/>
      </c:barChart>
      <c:catAx>
        <c:axId val="529111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91166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291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91118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5="http://schemas.microsoft.com/office/drawing/2012/chart" uri="{723BEF56-08C2-4564-9609-F4CBC75E7E54}">
      <c15:pivotSource>
        <c15:name>[Serenatto Café e Bistrô - FINAL AULA 4.xlsx]PivotChartTable5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482600</xdr:colOff>
      <xdr:row>16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5B89F9-1001-9F3E-18AB-2C8D386A3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482600</xdr:colOff>
      <xdr:row>31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402B4D-8704-5217-E35A-C67D7EF76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482600</xdr:colOff>
      <xdr:row>16</xdr:row>
      <xdr:rowOff>63500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DB35E3-E7E0-A251-A7C9-0FB7F3236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482600</xdr:colOff>
      <xdr:row>31</xdr:row>
      <xdr:rowOff>63500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3881871-56C4-E07A-C4AD-5CAC364D5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419100</xdr:colOff>
      <xdr:row>1</xdr:row>
      <xdr:rowOff>130628</xdr:rowOff>
    </xdr:from>
    <xdr:to>
      <xdr:col>6</xdr:col>
      <xdr:colOff>323850</xdr:colOff>
      <xdr:row>14</xdr:row>
      <xdr:rowOff>178253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ata (Mês)">
              <a:extLst>
                <a:ext uri="{FF2B5EF4-FFF2-40B4-BE49-F238E27FC236}">
                  <a16:creationId xmlns:a16="http://schemas.microsoft.com/office/drawing/2014/main" id="{6F265F94-2A4F-C1FA-A215-D0124CE222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 (Mê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3796" y="321128"/>
              <a:ext cx="1830161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360217</xdr:colOff>
      <xdr:row>0</xdr:row>
      <xdr:rowOff>96982</xdr:rowOff>
    </xdr:from>
    <xdr:to>
      <xdr:col>2</xdr:col>
      <xdr:colOff>1325831</xdr:colOff>
      <xdr:row>0</xdr:row>
      <xdr:rowOff>658092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8C730F-C230-2E70-3DF3-1C9A7D93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7" y="96982"/>
          <a:ext cx="2216729" cy="5611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360218</xdr:colOff>
      <xdr:row>0</xdr:row>
      <xdr:rowOff>76199</xdr:rowOff>
    </xdr:from>
    <xdr:to>
      <xdr:col>3</xdr:col>
      <xdr:colOff>477658</xdr:colOff>
      <xdr:row>0</xdr:row>
      <xdr:rowOff>637309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8CF01F9-FDFB-4D8C-9BB5-B0295C43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218" y="76199"/>
          <a:ext cx="2216729" cy="5611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3</xdr:col>
      <xdr:colOff>34811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8AF855A-3F4A-459E-BBF7-B2FA93773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13" y="76199"/>
          <a:ext cx="2216036" cy="5611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482600</xdr:colOff>
      <xdr:row>16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A18D40-4189-D947-F957-401E892209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76199</xdr:rowOff>
    </xdr:from>
    <xdr:to>
      <xdr:col>2</xdr:col>
      <xdr:colOff>1138895</xdr:colOff>
      <xdr:row>0</xdr:row>
      <xdr:rowOff>637309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6FB358B-4560-43C5-BF07-D26A36FB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693" y="76199"/>
          <a:ext cx="2216036" cy="56111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79710787037" backgroundQuery="1" createdVersion="8" refreshedVersion="8" minRefreshableVersion="3" recordCount="0" supportSubquery="1" supportAdvancedDrill="1" xr:uid="{1B91B21F-91CA-4CC1-88F7-36EFF3C1ED63}">
  <cacheSource type="external" connectionId="1"/>
  <cacheFields count="3">
    <cacheField name="[Measures].[Soma de Quantidade Comprada]" caption="Soma de Quantidade Comprada" numFmtId="0" hierarchy="29" level="32767"/>
    <cacheField name="[TB_Fornecedor].[Empresa].[Empresa]" caption="Empresa" numFmtId="0" hierarchy="7" level="1">
      <sharedItems count="4">
        <s v="Distribuídora KS"/>
        <s v="Frigorífico Z"/>
        <s v="Mercado Express"/>
        <s v="Salgados Gran"/>
      </sharedItems>
    </cacheField>
    <cacheField name="[TB_Produtos].[Produto].[Produto]" caption="Produto" numFmtId="0" hierarchy="12" level="1">
      <sharedItems count="11">
        <s v="Água"/>
        <s v="Cerveja"/>
        <s v="Refrigerante"/>
        <s v="Frango"/>
        <s v="Hamburguer"/>
        <s v="Café"/>
        <s v="Chocolate Quente"/>
        <s v="Mini Pizza"/>
        <s v="Suco de Laranja"/>
        <s v="Coxinha"/>
        <s v="Pão de Queijo"/>
      </sharedItems>
    </cacheField>
  </cacheFields>
  <cacheHierarchies count="35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>
      <fieldsUsage count="2">
        <fieldUsage x="-1"/>
        <fieldUsage x="1"/>
      </fieldsUsage>
    </cacheHierarchy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2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13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Valor de Venda]" caption="Valor de Venda" attribute="1" defaultMemberUniqueName="[TB_Saídas].[Valor de Venda].[All]" allUniqueName="[TB_Saídas].[Valor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797109953703" backgroundQuery="1" createdVersion="8" refreshedVersion="8" minRefreshableVersion="3" recordCount="0" supportSubquery="1" supportAdvancedDrill="1" xr:uid="{0C6B85D3-ECC1-4C92-B6D1-A6FDA38B44F0}">
  <cacheSource type="external" connectionId="1"/>
  <cacheFields count="5">
    <cacheField name="[TB_Produtos].[Produto].[Produto]" caption="Produto" numFmtId="0" hierarchy="12" level="1">
      <sharedItems count="4">
        <s v="Café"/>
        <s v="Chocolate Quente"/>
        <s v="Coxinha"/>
        <s v="Pão de Queijo"/>
      </sharedItems>
    </cacheField>
    <cacheField name="[TB_Entradas].[Data].[Data]" caption="Data" numFmtId="0" level="1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[TB_Entradas].[Data (Mês)].[Data (Mês)]" caption="Data (Mês)" numFmtId="0" hierarchy="4" level="1">
      <sharedItems count="1">
        <s v="out"/>
      </sharedItems>
    </cacheField>
    <cacheField name="[Measures].[Soma de Custo Compra]" caption="Soma de Custo Compra" numFmtId="0" hierarchy="33" level="32767"/>
    <cacheField name="[Measures].[Soma de Quantidade Comprada]" caption="Soma de Quantidade Comprada" numFmtId="0" hierarchy="29" level="32767"/>
  </cacheFields>
  <cacheHierarchies count="35"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1"/>
      </fieldsUsage>
    </cacheHierarchy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2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13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Valor de Venda]" caption="Valor de Venda" attribute="1" defaultMemberUniqueName="[TB_Saídas].[Valor de Venda].[All]" allUniqueName="[TB_Saídas].[Valor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797113078705" backgroundQuery="1" createdVersion="8" refreshedVersion="8" minRefreshableVersion="3" recordCount="0" supportSubquery="1" supportAdvancedDrill="1" xr:uid="{59FCA0E9-1CB0-4E0D-9C9C-F251AEA69836}">
  <cacheSource type="external" connectionId="1"/>
  <cacheFields count="4">
    <cacheField name="[TB_Produtos].[Produto].[Produto]" caption="Produto" numFmtId="0" hierarchy="12" level="1">
      <sharedItems count="11">
        <s v="Água"/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  <cacheField name="[Measures].[Soma de Quantidade Comprada]" caption="Soma de Quantidade Comprada" numFmtId="0" hierarchy="29" level="32767"/>
    <cacheField name="[TB_Entradas].[Data].[Data]" caption="Data" numFmtId="0" level="1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[TB_Entradas].[Data (Mês)].[Data (Mês)]" caption="Data (Mês)" numFmtId="0" hierarchy="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</cacheFields>
  <cacheHierarchies count="35"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2"/>
      </fieldsUsage>
    </cacheHierarchy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3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13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Valor de Venda]" caption="Valor de Venda" attribute="1" defaultMemberUniqueName="[TB_Saídas].[Valor de Venda].[All]" allUniqueName="[TB_Saídas].[Valor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79710891204" createdVersion="3" refreshedVersion="8" minRefreshableVersion="3" recordCount="0" supportSubquery="1" supportAdvancedDrill="1" xr:uid="{60F165E5-1C4C-44CF-8FA0-F0538AA8395D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0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13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Valor de Venda]" caption="Valor de Venda" attribute="1" defaultMemberUniqueName="[TB_Saídas].[Valor de Venda].[All]" allUniqueName="[TB_Saídas].[Valor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Soma de Quantidade Comprada]" caption="Soma de Quantidade Comprada" measure="1" displayFolder="" measureGroup="TB_Entrada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663964383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797114814814" createdVersion="5" refreshedVersion="8" minRefreshableVersion="3" recordCount="0" supportSubquery="1" supportAdvancedDrill="1" xr:uid="{6FB93277-06E5-49AD-958D-72666AEE30D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B_Entradas].[Data (Mês)].[Data (Mês)]" caption="Data (Mês)" numFmtId="0" hierarchy="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oma de Quantidade Comprada]" caption="Soma de Quantidade Comprada" numFmtId="0" hierarchy="29" level="32767"/>
    <cacheField name="[TB_Produtos].[Produto].[Produto]" caption="Produto" numFmtId="0" hierarchy="12" level="1">
      <sharedItems count="11">
        <s v="Café"/>
        <s v="Chocolate Quente"/>
        <s v="Coxinha"/>
        <s v="Pão de Queijo"/>
        <s v="Cerveja"/>
        <s v="Refrigerante"/>
        <s v="Suco de Laranja"/>
        <s v="Hamburguer"/>
        <s v="Mini Pizza"/>
        <s v="Frango"/>
        <s v="Água"/>
      </sharedItems>
    </cacheField>
  </cacheFields>
  <cacheHierarchies count="35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0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2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13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Valor de Venda]" caption="Valor de Venda" attribute="1" defaultMemberUniqueName="[TB_Saídas].[Valor de Venda].[All]" allUniqueName="[TB_Saídas].[Valor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209133827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797116087961" createdVersion="5" refreshedVersion="8" minRefreshableVersion="3" recordCount="0" supportSubquery="1" supportAdvancedDrill="1" xr:uid="{AB2C8ED2-9D57-42C7-BD95-E13964EA7EE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TB_Entradas].[Data (Mês)].[Data (Mês)]" caption="Data (Mês)" numFmtId="0" hierarchy="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Measures].[Soma de Quantidade Comprada]" caption="Soma de Quantidade Comprada" numFmtId="0" hierarchy="29" level="32767"/>
  </cacheFields>
  <cacheHierarchies count="35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0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0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13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Valor de Venda]" caption="Valor de Venda" attribute="1" defaultMemberUniqueName="[TB_Saídas].[Valor de Venda].[All]" allUniqueName="[TB_Saídas].[Valor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5451984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797117708331" createdVersion="5" refreshedVersion="8" minRefreshableVersion="3" recordCount="0" supportSubquery="1" supportAdvancedDrill="1" xr:uid="{1876C8D1-02D0-4076-A7EA-D7BF406149C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1">
    <cacheField name="[TB_Produtos].[Produto].[Produto]" caption="Produto" numFmtId="0" hierarchy="12" level="1">
      <sharedItems count="27">
        <s v="Açúcar"/>
        <s v="Água"/>
        <s v="Café"/>
        <s v="Cerveja"/>
        <s v="Chá"/>
        <s v="Chantilly"/>
        <s v="Chocolate Quente"/>
        <s v="Coxinha"/>
        <s v="Empada"/>
        <s v="Enroladinho"/>
        <s v="Esfiha"/>
        <s v="Frango"/>
        <s v="Hamburguer"/>
        <s v="Leite"/>
        <s v="Manteiga"/>
        <s v="Mini Pizza"/>
        <s v="Mortadela"/>
        <s v="Pão"/>
        <s v="Pão de Queijo"/>
        <s v="Peito de Peru"/>
        <s v="Presunto"/>
        <s v="Queijo"/>
        <s v="Quibe"/>
        <s v="Refrigerante"/>
        <s v="Requeijão"/>
        <s v="Risoles"/>
        <s v="Suco de Laranja"/>
      </sharedItems>
    </cacheField>
  </cacheFields>
  <cacheHierarchies count="35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0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13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Valor de Venda]" caption="Valor de Venda" attribute="1" defaultMemberUniqueName="[TB_Saídas].[Valor de Venda].[All]" allUniqueName="[TB_Saídas].[Valor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81103074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797119444447" createdVersion="5" refreshedVersion="8" minRefreshableVersion="3" recordCount="0" supportSubquery="1" supportAdvancedDrill="1" xr:uid="{D1CF2377-6AEB-4CCA-8253-803F69C7A50D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TB_Entradas].[Data].[Data]" caption="Data" numFmtId="0" level="1">
      <sharedItems containsSemiMixedTypes="0" containsNonDate="0" containsDate="1" containsString="0" minDate="2022-01-05T00:00:00" maxDate="2022-12-16T00:00:00" count="51">
        <d v="2022-01-05T00:00:00"/>
        <d v="2022-01-15T00:00:00"/>
        <d v="2022-01-17T00:00:00"/>
        <d v="2022-02-01T00:00:00"/>
        <d v="2022-02-02T00:00:00"/>
        <d v="2022-02-06T00:00:00"/>
        <d v="2022-02-10T00:00:00"/>
        <d v="2022-02-20T00:00:00"/>
        <d v="2022-03-05T00:00:00"/>
        <d v="2022-03-10T00:00:00"/>
        <d v="2022-03-15T00:00:00"/>
        <d v="2022-03-17T00:00:00"/>
        <d v="2022-03-24T00:00:00"/>
        <d v="2022-03-27T00:00:00"/>
        <d v="2022-04-04T00:00:00"/>
        <d v="2022-04-10T00:00:00"/>
        <d v="2022-04-21T00:00:00"/>
        <d v="2022-04-30T00:00:00"/>
        <d v="2022-05-05T00:00:00"/>
        <d v="2022-05-06T00:00:00"/>
        <d v="2022-05-10T00:00:00"/>
        <d v="2022-05-17T00:00:00"/>
        <d v="2022-06-02T00:00:00"/>
        <d v="2022-06-07T00:00:00"/>
        <d v="2022-06-15T00:00:00"/>
        <d v="2022-06-23T00:00:00"/>
        <d v="2022-07-01T00:00:00"/>
        <d v="2022-07-05T00:00:00"/>
        <d v="2022-07-07T00:00:00"/>
        <d v="2022-07-15T00:00:00"/>
        <d v="2022-08-05T00:00:00"/>
        <d v="2022-08-10T00:00:00"/>
        <d v="2022-08-18T00:00:00"/>
        <d v="2022-08-31T00:00:00"/>
        <d v="2022-09-02T00:00:00"/>
        <d v="2022-09-07T00:00:00"/>
        <d v="2022-09-17T00:00:00"/>
        <d v="2022-09-19T00:00:00"/>
        <d v="2022-09-24T00:00:00"/>
        <d v="2022-09-30T00:00:00"/>
        <d v="2022-10-01T00:00:00"/>
        <d v="2022-10-07T00:00:00"/>
        <d v="2022-10-20T00:00:00"/>
        <d v="2022-10-25T00:00:00"/>
        <d v="2022-11-09T00:00:00"/>
        <d v="2022-11-15T00:00:00"/>
        <d v="2022-11-18T00:00:00"/>
        <d v="2022-11-23T00:00:00"/>
        <d v="2022-11-30T00:00:00"/>
        <d v="2022-12-12T00:00:00"/>
        <d v="2022-12-15T00:00:00"/>
      </sharedItems>
    </cacheField>
    <cacheField name="[TB_Entradas].[Data (Mês)].[Data (Mês)]" caption="Data (Mês)" numFmtId="0" hierarchy="4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TB_Fornecedor].[Empresa].[Empresa]" caption="Empresa" numFmtId="0" hierarchy="7" level="1">
      <sharedItems count="4">
        <s v="Distribuídora KS"/>
        <s v="Frigorífico Z"/>
        <s v="Mercado Express"/>
        <s v="Salgados Gran"/>
      </sharedItems>
    </cacheField>
    <cacheField name="[Measures].[Soma de Quantidade Comprada]" caption="Soma de Quantidade Comprada" numFmtId="0" hierarchy="29" level="32767"/>
  </cacheFields>
  <cacheHierarchies count="35">
    <cacheHierarchy uniqueName="[TB_Entradas].[Data]" caption="Data" attribute="1" time="1" defaultMemberUniqueName="[TB_Entradas].[Data].[All]" allUniqueName="[TB_Entradas].[Data].[All]" dimensionUniqueName="[TB_Entradas]" displayFolder="" count="2" memberValueDatatype="7" unbalanced="0">
      <fieldsUsage count="2">
        <fieldUsage x="-1"/>
        <fieldUsage x="0"/>
      </fieldsUsage>
    </cacheHierarchy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2" memberValueDatatype="130" unbalanced="0">
      <fieldsUsage count="2">
        <fieldUsage x="-1"/>
        <fieldUsage x="1"/>
      </fieldsUsage>
    </cacheHierarchy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2" memberValueDatatype="130" unbalanced="0">
      <fieldsUsage count="2">
        <fieldUsage x="-1"/>
        <fieldUsage x="2"/>
      </fieldsUsage>
    </cacheHierarchy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0" memberValueDatatype="130" unbalanced="0"/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13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Valor de Venda]" caption="Valor de Venda" attribute="1" defaultMemberUniqueName="[TB_Saídas].[Valor de Venda].[All]" allUniqueName="[TB_Saídas].[Valor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114251689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87.797619675926" createdVersion="5" refreshedVersion="8" minRefreshableVersion="3" recordCount="0" supportSubquery="1" supportAdvancedDrill="1" xr:uid="{048165A4-4283-4248-817E-28B7AC01780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oma de Quantidade Vendida]" caption="Soma de Quantidade Vendida" numFmtId="0" hierarchy="34" level="32767"/>
    <cacheField name="[TB_Produtos].[Produto].[Produto]" caption="Produto" numFmtId="0" hierarchy="12" level="1">
      <sharedItems count="10">
        <s v="Café"/>
        <s v="Cerveja"/>
        <s v="Chocolate Quente"/>
        <s v="Coxinha"/>
        <s v="Frango"/>
        <s v="Hamburguer"/>
        <s v="Mini Pizza"/>
        <s v="Pão de Queijo"/>
        <s v="Refrigerante"/>
        <s v="Suco de Laranja"/>
      </sharedItems>
    </cacheField>
  </cacheFields>
  <cacheHierarchies count="35">
    <cacheHierarchy uniqueName="[TB_Entradas].[Data]" caption="Data" attribute="1" time="1" defaultMemberUniqueName="[TB_Entradas].[Data].[All]" allUniqueName="[TB_Entradas].[Data].[All]" dimensionUniqueName="[TB_Entradas]" displayFolder="" count="0" memberValueDatatype="7" unbalanced="0"/>
    <cacheHierarchy uniqueName="[TB_Entradas].[Produto]" caption="Produto" attribute="1" defaultMemberUniqueName="[TB_Entradas].[Produto].[All]" allUniqueName="[TB_Entradas].[Produto].[All]" dimensionUniqueName="[TB_Entradas]" displayFolder="" count="0" memberValueDatatype="20" unbalanced="0"/>
    <cacheHierarchy uniqueName="[TB_Entradas].[Fornecedor]" caption="Fornecedor" attribute="1" defaultMemberUniqueName="[TB_Entradas].[Fornecedor].[All]" allUniqueName="[TB_Entradas].[Fornecedor].[All]" dimensionUniqueName="[TB_Entradas]" displayFolder="" count="0" memberValueDatatype="20" unbalanced="0"/>
    <cacheHierarchy uniqueName="[TB_Entradas].[Quantidade Comprada]" caption="Quantidade Comprada" attribute="1" defaultMemberUniqueName="[TB_Entradas].[Quantidade Comprada].[All]" allUniqueName="[TB_Entradas].[Quantidade Comprada].[All]" dimensionUniqueName="[TB_Entradas]" displayFolder="" count="0" memberValueDatatype="20" unbalanced="0"/>
    <cacheHierarchy uniqueName="[TB_Entradas].[Data (Mês)]" caption="Data (Mês)" attribute="1" defaultMemberUniqueName="[TB_Entradas].[Data (Mês)].[All]" allUniqueName="[TB_Entradas].[Data (Mês)].[All]" dimensionUniqueName="[TB_Entradas]" displayFolder="" count="0" memberValueDatatype="130" unbalanced="0"/>
    <cacheHierarchy uniqueName="[TB_Entradas].[Custo Compra]" caption="Custo Compra" attribute="1" defaultMemberUniqueName="[TB_Entradas].[Custo Compra].[All]" allUniqueName="[TB_Entradas].[Custo Compra].[All]" dimensionUniqueName="[TB_Entradas]" displayFolder="" count="0" memberValueDatatype="5" unbalanced="0"/>
    <cacheHierarchy uniqueName="[TB_Fornecedor].[Código]" caption="Código" attribute="1" defaultMemberUniqueName="[TB_Fornecedor].[Código].[All]" allUniqueName="[TB_Fornecedor].[Código].[All]" dimensionUniqueName="[TB_Fornecedor]" displayFolder="" count="0" memberValueDatatype="20" unbalanced="0"/>
    <cacheHierarchy uniqueName="[TB_Fornecedor].[Empresa]" caption="Empresa" attribute="1" defaultMemberUniqueName="[TB_Fornecedor].[Empresa].[All]" allUniqueName="[TB_Fornecedor].[Empresa].[All]" dimensionUniqueName="[TB_Fornecedor]" displayFolder="" count="0" memberValueDatatype="130" unbalanced="0"/>
    <cacheHierarchy uniqueName="[TB_Fornecedor].[Telefone]" caption="Telefone" attribute="1" defaultMemberUniqueName="[TB_Fornecedor].[Telefone].[All]" allUniqueName="[TB_Fornecedor].[Telefone].[All]" dimensionUniqueName="[TB_Fornecedor]" displayFolder="" count="0" memberValueDatatype="130" unbalanced="0"/>
    <cacheHierarchy uniqueName="[TB_Fornecedor].[Responsável]" caption="Responsável" attribute="1" defaultMemberUniqueName="[TB_Fornecedor].[Responsável].[All]" allUniqueName="[TB_Fornecedor].[Responsável].[All]" dimensionUniqueName="[TB_Fornecedor]" displayFolder="" count="0" memberValueDatatype="130" unbalanced="0"/>
    <cacheHierarchy uniqueName="[TB_Fornecedor].[E-mail]" caption="E-mail" attribute="1" defaultMemberUniqueName="[TB_Fornecedor].[E-mail].[All]" allUniqueName="[TB_Fornecedor].[E-mail].[All]" dimensionUniqueName="[TB_Fornecedor]" displayFolder="" count="0" memberValueDatatype="130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20" unbalanced="0"/>
    <cacheHierarchy uniqueName="[TB_Produtos].[Produto]" caption="Produto" attribute="1" defaultMemberUniqueName="[TB_Produtos].[Produto].[All]" allUniqueName="[TB_Produtos].[Produto].[All]" dimensionUniqueName="[TB_Produtos]" displayFolder="" count="2" memberValueDatatype="130" unbalanced="0">
      <fieldsUsage count="2">
        <fieldUsage x="-1"/>
        <fieldUsage x="1"/>
      </fieldsUsage>
    </cacheHierarchy>
    <cacheHierarchy uniqueName="[TB_Produtos].[Unidade de Medida]" caption="Unidade de Medida" attribute="1" defaultMemberUniqueName="[TB_Produtos].[Unidade de Medida].[All]" allUniqueName="[TB_Produtos].[Unidade de Medida].[All]" dimensionUniqueName="[TB_Produtos]" displayFolder="" count="0" memberValueDatatype="130" unbalanced="0"/>
    <cacheHierarchy uniqueName="[TB_Produtos].[Estoque Mínimo]" caption="Estoque Mínimo" attribute="1" defaultMemberUniqueName="[TB_Produtos].[Estoque Mínimo].[All]" allUniqueName="[TB_Produtos].[Estoque Mínimo].[All]" dimensionUniqueName="[TB_Produtos]" displayFolder="" count="0" memberValueDatatype="20" unbalanced="0"/>
    <cacheHierarchy uniqueName="[TB_Produtos].[Custo Unitário]" caption="Custo Unitário" attribute="1" defaultMemberUniqueName="[TB_Produtos].[Custo Unitário].[All]" allUniqueName="[TB_Produtos].[Custo Unitário].[All]" dimensionUniqueName="[TB_Produtos]" displayFolder="" count="0" memberValueDatatype="5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Saídas].[Data]" caption="Data" attribute="1" time="1" defaultMemberUniqueName="[TB_Saídas].[Data].[All]" allUniqueName="[TB_Saídas].[Data].[All]" dimensionUniqueName="[TB_Saídas]" displayFolder="" count="0" memberValueDatatype="7" unbalanced="0"/>
    <cacheHierarchy uniqueName="[TB_Saídas].[Código Produto]" caption="Código Produto" attribute="1" defaultMemberUniqueName="[TB_Saídas].[Código Produto].[All]" allUniqueName="[TB_Saídas].[Código Produto].[All]" dimensionUniqueName="[TB_Saídas]" displayFolder="" count="0" memberValueDatatype="20" unbalanced="0"/>
    <cacheHierarchy uniqueName="[TB_Saídas].[Produto]" caption="Produto" attribute="1" defaultMemberUniqueName="[TB_Saídas].[Produto].[All]" allUniqueName="[TB_Saídas].[Produto].[All]" dimensionUniqueName="[TB_Saídas]" displayFolder="" count="0" memberValueDatatype="130" unbalanced="0"/>
    <cacheHierarchy uniqueName="[TB_Saídas].[Quantidade Vendida]" caption="Quantidade Vendida" attribute="1" defaultMemberUniqueName="[TB_Saídas].[Quantidade Vendida].[All]" allUniqueName="[TB_Saídas].[Quantidade Vendida].[All]" dimensionUniqueName="[TB_Saídas]" displayFolder="" count="0" memberValueDatatype="20" unbalanced="0"/>
    <cacheHierarchy uniqueName="[TB_Saídas].[Preço Unitário]" caption="Preço Unitário" attribute="1" defaultMemberUniqueName="[TB_Saídas].[Preço Unitário].[All]" allUniqueName="[TB_Saídas].[Preço Unitário].[All]" dimensionUniqueName="[TB_Saídas]" displayFolder="" count="0" memberValueDatatype="5" unbalanced="0"/>
    <cacheHierarchy uniqueName="[TB_Saídas].[Valor de Venda]" caption="Valor de Venda" attribute="1" defaultMemberUniqueName="[TB_Saídas].[Valor de Venda].[All]" allUniqueName="[TB_Saídas].[Valor de Venda].[All]" dimensionUniqueName="[TB_Saídas]" displayFolder="" count="0" memberValueDatatype="5" unbalanced="0"/>
    <cacheHierarchy uniqueName="[TB_Entradas].[Data (Índice de Mês)]" caption="Data (Índice de Mês)" attribute="1" defaultMemberUniqueName="[TB_Entradas].[Data (Índice de Mês)].[All]" allUniqueName="[TB_Entradas].[Data (Índice de Mês)].[All]" dimensionUniqueName="[TB_Entradas]" displayFolder="" count="0" memberValueDatatype="20" unbalanced="0" hidden="1"/>
    <cacheHierarchy uniqueName="[Measures].[__XL_Count TB_Produtos]" caption="__XL_Count TB_Produtos" measure="1" displayFolder="" measureGroup="TB_Produtos" count="0" hidden="1"/>
    <cacheHierarchy uniqueName="[Measures].[__XL_Count TB_Entradas]" caption="__XL_Count TB_Entradas" measure="1" displayFolder="" measureGroup="TB_Entradas" count="0" hidden="1"/>
    <cacheHierarchy uniqueName="[Measures].[__XL_Count TB_Fornecedor]" caption="__XL_Count TB_Fornecedor" measure="1" displayFolder="" measureGroup="TB_Fornecedor" count="0" hidden="1"/>
    <cacheHierarchy uniqueName="[Measures].[__XL_Count TB_Saídas]" caption="__XL_Count TB_Saídas" measure="1" displayFolder="" measureGroup="TB_Saídas" count="0" hidden="1"/>
    <cacheHierarchy uniqueName="[Measures].[__No measures defined]" caption="__No measures defined" measure="1" displayFolder="" count="0" hidden="1"/>
    <cacheHierarchy uniqueName="[Measures].[Soma de Quantidade Comprada]" caption="Soma de Quantidade Comprada" measure="1" displayFolder="" measureGroup="TB_Entrada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oma de Produto]" caption="Soma de Produto" measure="1" displayFolder="" measureGroup="TB_Entrada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a de Código]" caption="Soma de Código" measure="1" displayFolder="" measureGroup="TB_Produto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Custo Unitário]" caption="Soma de Custo Unitário" measure="1" displayFolder="" measureGroup="TB_Produtos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a de Custo Compra]" caption="Soma de Custo Compra" measure="1" displayFolder="" measureGroup="TB_Entrada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oma de Quantidade Vendida]" caption="Soma de Quantidade Vendida" measure="1" displayFolder="" measureGroup="TB_Saíd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5">
    <dimension measure="1" name="Measures" uniqueName="[Measures]" caption="Measures"/>
    <dimension name="TB_Entradas" uniqueName="[TB_Entradas]" caption="TB_Entradas"/>
    <dimension name="TB_Fornecedor" uniqueName="[TB_Fornecedor]" caption="TB_Fornecedor"/>
    <dimension name="TB_Produtos" uniqueName="[TB_Produtos]" caption="TB_Produtos"/>
    <dimension name="TB_Saídas" uniqueName="[TB_Saídas]" caption="TB_Saídas"/>
  </dimensions>
  <measureGroups count="4">
    <measureGroup name="TB_Entradas" caption="TB_Entradas"/>
    <measureGroup name="TB_Fornecedor" caption="TB_Fornecedor"/>
    <measureGroup name="TB_Produtos" caption="TB_Produtos"/>
    <measureGroup name="TB_Saídas" caption="TB_Saídas"/>
  </measureGroups>
  <maps count="7">
    <map measureGroup="0" dimension="1"/>
    <map measureGroup="0" dimension="2"/>
    <map measureGroup="0" dimension="3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pivotCacheId="58578587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70DD1-7699-4557-AC19-26BBC7F84F5F}" name="PivotChartTable5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B1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Quantidade Vendida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1" columnCount="1" cacheId="585785872">
        <x15:pivotRow count="1">
          <x15:c>
            <x15:v>945</x15:v>
          </x15:c>
        </x15:pivotRow>
        <x15:pivotRow count="1">
          <x15:c>
            <x15:v>25</x15:v>
          </x15:c>
        </x15:pivotRow>
        <x15:pivotRow count="1">
          <x15:c>
            <x15:v>500</x15:v>
          </x15:c>
        </x15:pivotRow>
        <x15:pivotRow count="1">
          <x15:c>
            <x15:v>245</x15:v>
          </x15:c>
        </x15:pivotRow>
        <x15:pivotRow count="1">
          <x15:c>
            <x15:v>30</x15:v>
          </x15:c>
        </x15:pivotRow>
        <x15:pivotRow count="1">
          <x15:c>
            <x15:v>50</x15:v>
          </x15:c>
        </x15:pivotRow>
        <x15:pivotRow count="1">
          <x15:c>
            <x15:v>90</x15:v>
          </x15:c>
        </x15:pivotRow>
        <x15:pivotRow count="1">
          <x15:c>
            <x15:v>400</x15:v>
          </x15:c>
        </x15:pivotRow>
        <x15:pivotRow count="1">
          <x15:c>
            <x15:v>210</x15:v>
          </x15:c>
        </x15:pivotRow>
        <x15:pivotRow count="1">
          <x15:c>
            <x15:v>100</x15:v>
          </x15:c>
        </x15:pivotRow>
        <x15:pivotRow count="1">
          <x15:c>
            <x15:v>2595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B_Saí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C03AC-4537-4802-B4E2-869EA718D53E}" name="PivotChartTable1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B68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0"/>
    <field x="2"/>
  </rowFields>
  <rowItems count="67">
    <i>
      <x/>
    </i>
    <i r="1">
      <x/>
    </i>
    <i r="1">
      <x v="1"/>
    </i>
    <i r="1">
      <x v="2"/>
    </i>
    <i r="1">
      <x v="3"/>
    </i>
    <i>
      <x v="1"/>
    </i>
    <i r="1">
      <x/>
    </i>
    <i r="1">
      <x v="4"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7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8"/>
    </i>
    <i r="1">
      <x v="3"/>
    </i>
    <i>
      <x v="8"/>
    </i>
    <i r="1">
      <x/>
    </i>
    <i r="1">
      <x v="1"/>
    </i>
    <i r="1">
      <x v="2"/>
    </i>
    <i r="1">
      <x v="9"/>
    </i>
    <i r="1">
      <x v="3"/>
    </i>
    <i r="1">
      <x v="5"/>
    </i>
    <i>
      <x v="9"/>
    </i>
    <i r="1">
      <x/>
    </i>
    <i r="1">
      <x v="1"/>
    </i>
    <i r="1">
      <x v="2"/>
    </i>
    <i r="1">
      <x v="3"/>
    </i>
    <i>
      <x v="10"/>
    </i>
    <i r="1"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t="grand">
      <x/>
    </i>
  </rowItems>
  <colItems count="1">
    <i/>
  </colItems>
  <dataFields count="1">
    <dataField name="Soma de Quantidade Comprada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4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7" columnCount="1" cacheId="2091338275">
        <x15:pivotRow count="1">
          <x15:c t="e">
            <x15:v/>
          </x15:c>
        </x15:pivotRow>
        <x15:pivotRow count="1">
          <x15:c>
            <x15:v>100</x15:v>
          </x15:c>
        </x15:pivotRow>
        <x15:pivotRow count="1">
          <x15:c>
            <x15:v>90</x15:v>
          </x15:c>
        </x15:pivotRow>
        <x15:pivotRow count="1">
          <x15:c>
            <x15:v>100</x15:v>
          </x15:c>
        </x15:pivotRow>
        <x15:pivotRow count="1">
          <x15:c>
            <x15:v>100</x15:v>
          </x15:c>
        </x15:pivotRow>
        <x15:pivotRow count="1">
          <x15:c t="e">
            <x15:v/>
          </x15:c>
        </x15:pivotRow>
        <x15:pivotRow count="1">
          <x15:c>
            <x15:v>125</x15:v>
          </x15:c>
        </x15:pivotRow>
        <x15:pivotRow count="1">
          <x15:c>
            <x15:v>50</x15:v>
          </x15:c>
        </x15:pivotRow>
        <x15:pivotRow count="1">
          <x15:c>
            <x15:v>80</x15:v>
          </x15:c>
        </x15:pivotRow>
        <x15:pivotRow count="1">
          <x15:c>
            <x15:v>100</x15:v>
          </x15:c>
        </x15:pivotRow>
        <x15:pivotRow count="1">
          <x15:c>
            <x15:v>85</x15:v>
          </x15:c>
        </x15:pivotRow>
        <x15:pivotRow count="1">
          <x15:c t="e">
            <x15:v/>
          </x15:c>
        </x15:pivotRow>
        <x15:pivotRow count="1">
          <x15:c>
            <x15:v>150</x15:v>
          </x15:c>
        </x15:pivotRow>
        <x15:pivotRow count="1">
          <x15:c>
            <x15:v>40</x15:v>
          </x15:c>
        </x15:pivotRow>
        <x15:pivotRow count="1">
          <x15:c>
            <x15:v>50</x15:v>
          </x15:c>
        </x15:pivotRow>
        <x15:pivotRow count="1">
          <x15:c>
            <x15:v>50</x15:v>
          </x15:c>
        </x15:pivotRow>
        <x15:pivotRow count="1">
          <x15:c>
            <x15:v>250</x15:v>
          </x15:c>
        </x15:pivotRow>
        <x15:pivotRow count="1">
          <x15:c>
            <x15:v>100</x15:v>
          </x15:c>
        </x15:pivotRow>
        <x15:pivotRow count="1">
          <x15:c t="e">
            <x15:v/>
          </x15:c>
        </x15:pivotRow>
        <x15:pivotRow count="1">
          <x15:c>
            <x15:v>150</x15:v>
          </x15:c>
        </x15:pivotRow>
        <x15:pivotRow count="1">
          <x15:c>
            <x15:v>60</x15:v>
          </x15:c>
        </x15:pivotRow>
        <x15:pivotRow count="1">
          <x15:c>
            <x15:v>50</x15:v>
          </x15:c>
        </x15:pivotRow>
        <x15:pivotRow count="1">
          <x15:c>
            <x15:v>90</x15:v>
          </x15:c>
        </x15:pivotRow>
        <x15:pivotRow count="1">
          <x15:c t="e">
            <x15:v/>
          </x15:c>
        </x15:pivotRow>
        <x15:pivotRow count="1">
          <x15:c>
            <x15:v>100</x15:v>
          </x15:c>
        </x15:pivotRow>
        <x15:pivotRow count="1">
          <x15:c>
            <x15:v>45</x15:v>
          </x15:c>
        </x15:pivotRow>
        <x15:pivotRow count="1">
          <x15:c>
            <x15:v>50</x15:v>
          </x15:c>
        </x15:pivotRow>
        <x15:pivotRow count="1">
          <x15:c>
            <x15:v>60</x15:v>
          </x15:c>
        </x15:pivotRow>
        <x15:pivotRow count="1">
          <x15:c>
            <x15:v>30</x15:v>
          </x15:c>
        </x15:pivotRow>
        <x15:pivotRow count="1">
          <x15:c t="e">
            <x15:v/>
          </x15:c>
        </x15:pivotRow>
        <x15:pivotRow count="1">
          <x15:c>
            <x15:v>150</x15:v>
          </x15:c>
        </x15:pivotRow>
        <x15:pivotRow count="1">
          <x15:c>
            <x15:v>115</x15:v>
          </x15:c>
        </x15:pivotRow>
        <x15:pivotRow count="1">
          <x15:c>
            <x15:v>45</x15:v>
          </x15:c>
        </x15:pivotRow>
        <x15:pivotRow count="1">
          <x15:c>
            <x15:v>100</x15:v>
          </x15:c>
        </x15:pivotRow>
        <x15:pivotRow count="1">
          <x15:c t="e">
            <x15:v/>
          </x15:c>
        </x15:pivotRow>
        <x15:pivotRow count="1">
          <x15:c>
            <x15:v>150</x15:v>
          </x15:c>
        </x15:pivotRow>
        <x15:pivotRow count="1">
          <x15:c>
            <x15:v>120</x15:v>
          </x15:c>
        </x15:pivotRow>
        <x15:pivotRow count="1">
          <x15:c>
            <x15:v>20</x15:v>
          </x15:c>
        </x15:pivotRow>
        <x15:pivotRow count="1">
          <x15:c>
            <x15:v>60</x15:v>
          </x15:c>
        </x15:pivotRow>
        <x15:pivotRow count="1">
          <x15:c t="e">
            <x15:v/>
          </x15:c>
        </x15:pivotRow>
        <x15:pivotRow count="1">
          <x15:c>
            <x15:v>150</x15:v>
          </x15:c>
        </x15:pivotRow>
        <x15:pivotRow count="1">
          <x15:c>
            <x15:v>35</x15:v>
          </x15:c>
        </x15:pivotRow>
        <x15:pivotRow count="1">
          <x15:c>
            <x15:v>30</x15:v>
          </x15:c>
        </x15:pivotRow>
        <x15:pivotRow count="1">
          <x15:c>
            <x15:v>100</x15:v>
          </x15:c>
        </x15:pivotRow>
        <x15:pivotRow count="1">
          <x15:c>
            <x15:v>30</x15:v>
          </x15:c>
        </x15:pivotRow>
        <x15:pivotRow count="1">
          <x15:c t="e">
            <x15:v/>
          </x15:c>
        </x15:pivotRow>
        <x15:pivotRow count="1">
          <x15:c>
            <x15:v>180</x15:v>
          </x15:c>
        </x15:pivotRow>
        <x15:pivotRow count="1">
          <x15:c>
            <x15:v>34</x15:v>
          </x15:c>
        </x15:pivotRow>
        <x15:pivotRow count="1">
          <x15:c>
            <x15:v>15</x15:v>
          </x15:c>
        </x15:pivotRow>
        <x15:pivotRow count="1">
          <x15:c>
            <x15:v>50</x15:v>
          </x15:c>
        </x15:pivotRow>
        <x15:pivotRow count="1">
          <x15:c>
            <x15:v>20</x15:v>
          </x15:c>
        </x15:pivotRow>
        <x15:pivotRow count="1">
          <x15:c>
            <x15:v>100</x15:v>
          </x15:c>
        </x15:pivotRow>
        <x15:pivotRow count="1">
          <x15:c t="e">
            <x15:v/>
          </x15:c>
        </x15:pivotRow>
        <x15:pivotRow count="1">
          <x15:c>
            <x15:v>100</x15:v>
          </x15:c>
        </x15:pivotRow>
        <x15:pivotRow count="1">
          <x15:c>
            <x15:v>46</x15:v>
          </x15:c>
        </x15:pivotRow>
        <x15:pivotRow count="1">
          <x15:c>
            <x15:v>55</x15:v>
          </x15:c>
        </x15:pivotRow>
        <x15:pivotRow count="1">
          <x15:c>
            <x15:v>35</x15:v>
          </x15:c>
        </x15:pivotRow>
        <x15:pivotRow count="1">
          <x15:c t="e">
            <x15:v/>
          </x15:c>
        </x15:pivotRow>
        <x15:pivotRow count="1">
          <x15:c>
            <x15:v>100</x15:v>
          </x15:c>
        </x15:pivotRow>
        <x15:pivotRow count="1">
          <x15:c>
            <x15:v>80</x15:v>
          </x15:c>
        </x15:pivotRow>
        <x15:pivotRow count="1">
          <x15:c>
            <x15:v>45</x15:v>
          </x15:c>
        </x15:pivotRow>
        <x15:pivotRow count="1">
          <x15:c>
            <x15:v>35</x15:v>
          </x15:c>
        </x15:pivotRow>
        <x15:pivotRow count="1">
          <x15:c>
            <x15:v>20</x15:v>
          </x15:c>
        </x15:pivotRow>
        <x15:pivotRow count="1">
          <x15:c t="e">
            <x15:v/>
          </x15:c>
        </x15:pivotRow>
        <x15:pivotRow count="1">
          <x15:c>
            <x15:v>200</x15:v>
          </x15:c>
        </x15:pivotRow>
        <x15:pivotRow count="1">
          <x15:c>
            <x15:v>40</x15:v>
          </x15:c>
        </x15:pivotRow>
        <x15:pivotRow count="1">
          <x15:c>
            <x15:v>4365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C8FAD-FA98-4422-8281-75AB991DE2D3}" name="PivotChartTable3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B14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Quantidade Comprada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54519847">
        <x15:pivotRow count="1">
          <x15:c>
            <x15:v>390</x15:v>
          </x15:c>
        </x15:pivotRow>
        <x15:pivotRow count="1">
          <x15:c>
            <x15:v>440</x15:v>
          </x15:c>
        </x15:pivotRow>
        <x15:pivotRow count="1">
          <x15:c>
            <x15:v>640</x15:v>
          </x15:c>
        </x15:pivotRow>
        <x15:pivotRow count="1">
          <x15:c>
            <x15:v>350</x15:v>
          </x15:c>
        </x15:pivotRow>
        <x15:pivotRow count="1">
          <x15:c>
            <x15:v>285</x15:v>
          </x15:c>
        </x15:pivotRow>
        <x15:pivotRow count="1">
          <x15:c>
            <x15:v>410</x15:v>
          </x15:c>
        </x15:pivotRow>
        <x15:pivotRow count="1">
          <x15:c>
            <x15:v>350</x15:v>
          </x15:c>
        </x15:pivotRow>
        <x15:pivotRow count="1">
          <x15:c>
            <x15:v>345</x15:v>
          </x15:c>
        </x15:pivotRow>
        <x15:pivotRow count="1">
          <x15:c>
            <x15:v>399</x15:v>
          </x15:c>
        </x15:pivotRow>
        <x15:pivotRow count="1">
          <x15:c>
            <x15:v>236</x15:v>
          </x15:c>
        </x15:pivotRow>
        <x15:pivotRow count="1">
          <x15:c>
            <x15:v>280</x15:v>
          </x15:c>
        </x15:pivotRow>
        <x15:pivotRow count="1">
          <x15:c>
            <x15:v>240</x15:v>
          </x15:c>
        </x15:pivotRow>
        <x15:pivotRow count="1">
          <x15:c>
            <x15:v>4365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B_Entr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D0682-68F4-4C61-9F45-32A20D8C7DA0}" name="PivotChartTable4" cacheId="67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>
  <location ref="A1:A29" firstHeaderRow="1" firstDataRow="1" firstDataCol="1"/>
  <pivotFields count="1">
    <pivotField axis="axisRow" allDrilled="1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67121-E247-4A40-8E24-483E6EDC6328}" name="PivotChartTable2" cacheId="68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">
  <location ref="A1:N8" firstHeaderRow="1" firstDataRow="3" firstDataCol="1"/>
  <pivotFields count="4">
    <pivotField axis="axisCol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Quantidade Comprada" fld="3" baseField="0" baseItem="0"/>
  </dataFields>
  <chartFormats count="2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"/>
  </rowHierarchiesUsage>
  <colHierarchiesUsage count="2">
    <colHierarchyUsage hierarchyUsage="4"/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3" cacheId="1142516893">
        <x15:pivotRow count="13">
          <x15:c t="e">
            <x15:v/>
          </x15:c>
          <x15:c>
            <x15:v>50</x15:v>
          </x15:c>
          <x15:c>
            <x15:v>250</x15:v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100</x15:v>
          </x15:c>
          <x15:c t="e">
            <x15:v/>
          </x15:c>
          <x15:c>
            <x15:v>100</x15:v>
          </x15:c>
          <x15:c t="e">
            <x15:v/>
          </x15:c>
          <x15:c>
            <x15:v>500</x15:v>
          </x15:c>
        </x15:pivotRow>
        <x15:pivotRow count="13"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60</x15:v>
          </x15:c>
          <x15:c t="e">
            <x15:v/>
          </x15:c>
          <x15:c t="e">
            <x15:v/>
          </x15:c>
          <x15:c t="e">
            <x15:v/>
          </x15:c>
          <x15:c>
            <x15:v>50</x15:v>
          </x15:c>
          <x15:c t="e">
            <x15:v/>
          </x15:c>
          <x15:c t="e">
            <x15:v/>
          </x15:c>
          <x15:c t="e">
            <x15:v/>
          </x15:c>
          <x15:c>
            <x15:v>110</x15:v>
          </x15:c>
        </x15:pivotRow>
        <x15:pivotRow count="13">
          <x15:c>
            <x15:v>190</x15:v>
          </x15:c>
          <x15:c>
            <x15:v>205</x15:v>
          </x15:c>
          <x15:c>
            <x15:v>290</x15:v>
          </x15:c>
          <x15:c>
            <x15:v>210</x15:v>
          </x15:c>
          <x15:c>
            <x15:v>145</x15:v>
          </x15:c>
          <x15:c>
            <x15:v>265</x15:v>
          </x15:c>
          <x15:c>
            <x15:v>270</x15:v>
          </x15:c>
          <x15:c>
            <x15:v>285</x15:v>
          </x15:c>
          <x15:c>
            <x15:v>214</x15:v>
          </x15:c>
          <x15:c>
            <x15:v>146</x15:v>
          </x15:c>
          <x15:c>
            <x15:v>125</x15:v>
          </x15:c>
          <x15:c>
            <x15:v>240</x15:v>
          </x15:c>
          <x15:c>
            <x15:v>2585</x15:v>
          </x15:c>
        </x15:pivotRow>
        <x15:pivotRow count="13">
          <x15:c>
            <x15:v>200</x15:v>
          </x15:c>
          <x15:c>
            <x15:v>185</x15:v>
          </x15:c>
          <x15:c>
            <x15:v>100</x15:v>
          </x15:c>
          <x15:c>
            <x15:v>140</x15:v>
          </x15:c>
          <x15:c>
            <x15:v>80</x15:v>
          </x15:c>
          <x15:c>
            <x15:v>145</x15:v>
          </x15:c>
          <x15:c>
            <x15:v>80</x15:v>
          </x15:c>
          <x15:c>
            <x15:v>60</x15:v>
          </x15:c>
          <x15:c>
            <x15:v>35</x15:v>
          </x15:c>
          <x15:c>
            <x15:v>90</x15:v>
          </x15:c>
          <x15:c>
            <x15:v>55</x15:v>
          </x15:c>
          <x15:c t="e">
            <x15:v/>
          </x15:c>
          <x15:c>
            <x15:v>1170</x15:v>
          </x15:c>
        </x15:pivotRow>
        <x15:pivotRow count="13">
          <x15:c>
            <x15:v>390</x15:v>
          </x15:c>
          <x15:c>
            <x15:v>440</x15:v>
          </x15:c>
          <x15:c>
            <x15:v>640</x15:v>
          </x15:c>
          <x15:c>
            <x15:v>350</x15:v>
          </x15:c>
          <x15:c>
            <x15:v>285</x15:v>
          </x15:c>
          <x15:c>
            <x15:v>410</x15:v>
          </x15:c>
          <x15:c>
            <x15:v>350</x15:v>
          </x15:c>
          <x15:c>
            <x15:v>345</x15:v>
          </x15:c>
          <x15:c>
            <x15:v>399</x15:v>
          </x15:c>
          <x15:c>
            <x15:v>236</x15:v>
          </x15:c>
          <x15:c>
            <x15:v>280</x15:v>
          </x15:c>
          <x15:c>
            <x15:v>240</x15:v>
          </x15:c>
          <x15:c>
            <x15:v>4365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EB544-1264-465E-8103-01FC17D595A4}" name="Tabela dinâmica1" cacheId="61" applyNumberFormats="0" applyBorderFormats="0" applyFontFormats="0" applyPatternFormats="0" applyAlignmentFormats="0" applyWidthHeightFormats="1" dataCaption="Valores" tag="ab1b9f5a-5f81-4cf6-91a4-d36e277a7d34" updatedVersion="8" minRefreshableVersion="3" useAutoFormatting="1" subtotalHiddenItems="1" itemPrintTitles="1" createdVersion="8" indent="0" outline="1" outlineData="1" multipleFieldFilters="0">
  <location ref="A3:B1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1"/>
    <field x="2"/>
  </rowFields>
  <rowItems count="16">
    <i>
      <x/>
    </i>
    <i r="1">
      <x/>
    </i>
    <i r="1">
      <x v="1"/>
    </i>
    <i r="1">
      <x v="2"/>
    </i>
    <i>
      <x v="1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>
      <x v="3"/>
    </i>
    <i r="1">
      <x v="9"/>
    </i>
    <i r="1">
      <x v="10"/>
    </i>
    <i t="grand">
      <x/>
    </i>
  </rowItems>
  <colItems count="1">
    <i/>
  </colItems>
  <dataFields count="1">
    <dataField name="Soma de Quantidade Comprada" fld="0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Produto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6413F-A618-46C2-B463-872AB7EF5397}" name="Tabela dinâmica2" cacheId="62" applyNumberFormats="0" applyBorderFormats="0" applyFontFormats="0" applyPatternFormats="0" applyAlignmentFormats="0" applyWidthHeightFormats="1" dataCaption="Valores" tag="6b8b37e0-84e8-4640-a995-9eb46c6cef2d" updatedVersion="8" minRefreshableVersion="3" colGrandTotals="0" itemPrintTitles="1" createdVersion="8" indent="0" outline="1" outlineData="1" multipleFieldFilters="0">
  <location ref="A3:D11" firstHeaderRow="1" firstDataRow="4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Col" allDrilled="1" subtotalTop="0" showAll="0" dataSourceSort="1" defaultSubtotal="0">
      <items count="1">
        <item s="1" x="0" e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3">
    <field x="2"/>
    <field x="1"/>
    <field x="-2"/>
  </colFields>
  <colItems count="2">
    <i>
      <x/>
      <x v="1048832"/>
      <x/>
    </i>
    <i r="2" i="1">
      <x v="1"/>
    </i>
  </colItems>
  <dataFields count="2">
    <dataField name="Soma de Quantidade Comprada" fld="4" baseField="0" baseItem="0"/>
    <dataField name="Soma de Custo Compra" fld="3" baseField="0" baseItem="0"/>
  </dataField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18" showRowHeaders="1" showColHeaders="1" showRowStripes="0" showColStripes="0" showLastColumn="1"/>
  <rowHierarchiesUsage count="1">
    <rowHierarchyUsage hierarchyUsage="12"/>
  </rowHierarchiesUsage>
  <colHierarchiesUsage count="3">
    <colHierarchyUsage hierarchyUsage="4"/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Produtos]"/>
        <x15:activeTabTopLevelEntity name="[TB_Entra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E9498-AA42-448C-B7D9-1FEF8C0041A5}" name="Tabela dinâmica1" cacheId="63" applyNumberFormats="0" applyBorderFormats="0" applyFontFormats="0" applyPatternFormats="0" applyAlignmentFormats="0" applyWidthHeightFormats="1" dataCaption="Valores" tag="33629e3b-51d8-4565-a531-8f18481bbca9" updatedVersion="8" minRefreshableVersion="3" itemPrintTitles="1" createdVersion="8" indent="0" outline="1" outlineData="1" multipleFieldFilters="0">
  <location ref="A3:N17" firstHeaderRow="1" firstDataRow="3" firstDataCol="1"/>
  <pivotFields count="4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3"/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Quantidade Comprada" fld="1" baseField="0" baseItem="0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2">
    <colHierarchyUsage hierarchyUsage="4"/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Entradas]"/>
        <x15:activeTabTopLevelEntity name="[TB_Produtos]"/>
        <x15:activeTabTopLevelEntity name="[TB_Fornecedo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ata__Mês" xr10:uid="{7A206BEF-B635-4834-B8F1-7DA8B5B85A89}" sourceName="[TB_Entradas].[Data (Mês)]">
  <pivotTables>
    <pivotTable tabId="14" name="Tabela dinâmica2"/>
  </pivotTables>
  <data>
    <olap pivotCacheId="1663964383">
      <levels count="2">
        <level uniqueName="[TB_Entradas].[Data (Mês)].[(All)]" sourceCaption="(All)" count="0"/>
        <level uniqueName="[TB_Entradas].[Data (Mês)].[Data (Mês)]" sourceCaption="Data (Mês)" count="12">
          <ranges>
            <range startItem="0">
              <i n="[TB_Entradas].[Data (Mês)].&amp;[jan]" c="jan"/>
              <i n="[TB_Entradas].[Data (Mês)].&amp;[fev]" c="fev"/>
              <i n="[TB_Entradas].[Data (Mês)].&amp;[mar]" c="mar"/>
              <i n="[TB_Entradas].[Data (Mês)].&amp;[abr]" c="abr"/>
              <i n="[TB_Entradas].[Data (Mês)].&amp;[mai]" c="mai"/>
              <i n="[TB_Entradas].[Data (Mês)].&amp;[jun]" c="jun"/>
              <i n="[TB_Entradas].[Data (Mês)].&amp;[jul]" c="jul"/>
              <i n="[TB_Entradas].[Data (Mês)].&amp;[ago]" c="ago"/>
              <i n="[TB_Entradas].[Data (Mês)].&amp;[set]" c="set"/>
              <i n="[TB_Entradas].[Data (Mês)].&amp;[out]" c="out"/>
              <i n="[TB_Entradas].[Data (Mês)].&amp;[nov]" c="nov"/>
              <i n="[TB_Entradas].[Data (Mês)].&amp;[dez]" c="dez"/>
            </range>
          </ranges>
        </level>
      </levels>
      <selections count="1">
        <selection n="[TB_Entradas].[Data (Mês)].&amp;[out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a (Mês)" xr10:uid="{6D58C303-AD4F-4F94-959D-56EDA3861874}" cache="SegmentaçãodeDados_Data__Mês" caption="Data (Mês)" startItem="4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78AD2E-2996-4673-93A5-FBABBADBFCAD}" name="TB_Produtos" displayName="TB_Produtos" ref="B4:G31" totalsRowShown="0" headerRowDxfId="28" dataDxfId="27">
  <autoFilter ref="B4:G31" xr:uid="{BF78AD2E-2996-4673-93A5-FBABBADBFCAD}"/>
  <tableColumns count="6">
    <tableColumn id="6" xr3:uid="{89619A99-9F64-4B62-9717-C624D5416E92}" name="Código" dataDxfId="26"/>
    <tableColumn id="1" xr3:uid="{377E90C8-0A45-4737-AC04-4C7CDB0AEAE2}" name="Produto" dataDxfId="25"/>
    <tableColumn id="2" xr3:uid="{4EB804C9-8A27-4783-BD36-FB9E656AE6E9}" name="Unidade de Medida" dataDxfId="24"/>
    <tableColumn id="3" xr3:uid="{A21D3E1F-EEC0-4E4A-BE5D-F1FC07B6F8D6}" name="Estoque Mínimo" dataDxfId="23"/>
    <tableColumn id="4" xr3:uid="{56ACBABD-1CFA-40E7-BC2B-DBA4120CD2CF}" name="Custo Unitário" dataDxfId="22" dataCellStyle="Moeda"/>
    <tableColumn id="5" xr3:uid="{96CD541B-A2C4-4577-95D7-DC8135FFC00B}" name="Preço Unitário" dataDxfId="21" dataCellStyle="Moed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E8CB29-2D3F-4475-8076-85314FAA5C42}" name="TB_Fornecedor" displayName="TB_Fornecedor" ref="B5:F9" totalsRowShown="0" headerRowDxfId="20" dataDxfId="19">
  <autoFilter ref="B5:F9" xr:uid="{3FE8CB29-2D3F-4475-8076-85314FAA5C42}"/>
  <tableColumns count="5">
    <tableColumn id="5" xr3:uid="{5FC9FE8F-4F08-40A4-AA09-0975F9E316A7}" name="Código" dataDxfId="18"/>
    <tableColumn id="1" xr3:uid="{5957F8AA-CE75-4BE8-A28F-E63751C6F321}" name="Empresa" dataDxfId="17"/>
    <tableColumn id="2" xr3:uid="{714E240A-6400-4353-BAFA-98056A75BEB8}" name="Telefone" dataDxfId="16"/>
    <tableColumn id="3" xr3:uid="{83F2A368-4F63-4459-A8E0-C24478833107}" name="Responsável" dataDxfId="15"/>
    <tableColumn id="4" xr3:uid="{B26AA4D1-77D3-4E4E-8E26-1DD67159E60C}" name="E-mail" dataDxfId="14" dataCellStyle="Moeda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889516-6D39-4469-A223-4B0F7168EF79}" name="TB_Entradas" displayName="TB_Entradas" ref="B5:E59" totalsRowShown="0" headerRowDxfId="13" dataDxfId="12">
  <autoFilter ref="B5:E59" xr:uid="{96889516-6D39-4469-A223-4B0F7168EF79}"/>
  <tableColumns count="4">
    <tableColumn id="1" xr3:uid="{701AD28A-1CD8-44C9-BCEB-958AEB0E91DD}" name="Data" dataDxfId="11"/>
    <tableColumn id="2" xr3:uid="{F247CE0B-0EF4-4B75-A4B5-2205D8CF8B59}" name="Produto" dataDxfId="10"/>
    <tableColumn id="3" xr3:uid="{1A5D1499-6E9D-496F-95A9-F290D6FBA0EA}" name="Fornecedor" dataDxfId="9"/>
    <tableColumn id="4" xr3:uid="{8E9FF413-1C84-4664-AA13-4DDF2E3D7D9D}" name="Quantidade Comprada" dataDxfId="8" dataCellStyle="Moeda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A585A-A0FE-42A4-967D-5B04DAD1156E}" name="TB_Saídas" displayName="TB_Saídas" ref="B5:G62" totalsRowShown="0" headerRowDxfId="7" dataDxfId="6">
  <autoFilter ref="B5:G62" xr:uid="{586A585A-A0FE-42A4-967D-5B04DAD1156E}"/>
  <tableColumns count="6">
    <tableColumn id="1" xr3:uid="{B4F598A6-4052-4062-950B-44B21BB57036}" name="Data" dataDxfId="2"/>
    <tableColumn id="6" xr3:uid="{0BDEA6EA-12D0-4E6C-9B00-5BBF9BDDDE58}" name="Código Produto" dataDxfId="0">
      <calculatedColumnFormula array="1">_xlfn.XLOOKUP(TB_Saídas[[#This Row],[Produto]],TB_Produtos[[#All],[Produto]],TB_Produtos[[#All],[Código]],,0)</calculatedColumnFormula>
    </tableColumn>
    <tableColumn id="2" xr3:uid="{370468ED-B740-49DE-AB89-5354284A2ABF}" name="Produto" dataDxfId="1"/>
    <tableColumn id="3" xr3:uid="{BE1ABBF0-3358-4840-B3C0-322DEDC290E1}" name="Quantidade Vendida" dataDxfId="5"/>
    <tableColumn id="4" xr3:uid="{561D4B7F-EDFE-4DF1-8FB5-D94F09D99A20}" name="Preço Unitário" dataDxfId="4" dataCellStyle="Moeda">
      <calculatedColumnFormula array="1">_xlfn.XLOOKUP(TB_Saídas[[#This Row],[Produto]],TB_Produtos[[#All],[Produto]],TB_Produtos[[#All],[Preço Unitário]],"Produto não Encontrado",0,1)</calculatedColumnFormula>
    </tableColumn>
    <tableColumn id="5" xr3:uid="{E2ABB07D-4494-43CF-A1D0-BB7188F908E0}" name="Valor de Venda" dataDxfId="3">
      <calculatedColumnFormula>IFERROR(TB_Saídas[[#This Row],[Quantidade Vendida]]*TB_Saídas[[#This Row],[Preço Unitário]],"Não foi possível calcular")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Serenatto Café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313829"/>
      </a:accent1>
      <a:accent2>
        <a:srgbClr val="1A261A"/>
      </a:accent2>
      <a:accent3>
        <a:srgbClr val="B39563"/>
      </a:accent3>
      <a:accent4>
        <a:srgbClr val="787674"/>
      </a:accent4>
      <a:accent5>
        <a:srgbClr val="C9B1AC"/>
      </a:accent5>
      <a:accent6>
        <a:srgbClr val="E8D7A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@distribu&#237;doraks.com.br" TargetMode="External"/><Relationship Id="rId2" Type="http://schemas.openxmlformats.org/officeDocument/2006/relationships/hyperlink" Target="mailto:carlos@frigor&#237;ficoz.com.br" TargetMode="External"/><Relationship Id="rId1" Type="http://schemas.openxmlformats.org/officeDocument/2006/relationships/hyperlink" Target="mailto:maria@mercadoexpress.com.br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4.xml"/><Relationship Id="rId4" Type="http://schemas.openxmlformats.org/officeDocument/2006/relationships/hyperlink" Target="mailto:claudia@salgadosgran.com.b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A2B6-087C-4506-B207-8C283D3C2991}">
  <dimension ref="A3:B19"/>
  <sheetViews>
    <sheetView topLeftCell="A2" zoomScale="130" zoomScaleNormal="130" workbookViewId="0">
      <selection activeCell="E11" sqref="E11"/>
    </sheetView>
  </sheetViews>
  <sheetFormatPr defaultRowHeight="15" x14ac:dyDescent="0.25"/>
  <cols>
    <col min="1" max="1" width="21" bestFit="1" customWidth="1"/>
    <col min="2" max="2" width="29.42578125" bestFit="1" customWidth="1"/>
    <col min="3" max="3" width="10.7109375" bestFit="1" customWidth="1"/>
    <col min="4" max="13" width="4.28515625" bestFit="1" customWidth="1"/>
    <col min="14" max="14" width="10.7109375" bestFit="1" customWidth="1"/>
  </cols>
  <sheetData>
    <row r="3" spans="1:2" x14ac:dyDescent="0.25">
      <c r="A3" s="23" t="s">
        <v>67</v>
      </c>
      <c r="B3" t="s">
        <v>71</v>
      </c>
    </row>
    <row r="4" spans="1:2" x14ac:dyDescent="0.25">
      <c r="A4" s="24" t="s">
        <v>51</v>
      </c>
      <c r="B4" s="33"/>
    </row>
    <row r="5" spans="1:2" x14ac:dyDescent="0.25">
      <c r="A5" s="25" t="s">
        <v>69</v>
      </c>
      <c r="B5" s="33">
        <v>100</v>
      </c>
    </row>
    <row r="6" spans="1:2" x14ac:dyDescent="0.25">
      <c r="A6" s="25" t="s">
        <v>31</v>
      </c>
      <c r="B6" s="33">
        <v>50</v>
      </c>
    </row>
    <row r="7" spans="1:2" x14ac:dyDescent="0.25">
      <c r="A7" s="25" t="s">
        <v>36</v>
      </c>
      <c r="B7" s="33">
        <v>350</v>
      </c>
    </row>
    <row r="8" spans="1:2" x14ac:dyDescent="0.25">
      <c r="A8" s="24" t="s">
        <v>47</v>
      </c>
      <c r="B8" s="33"/>
    </row>
    <row r="9" spans="1:2" x14ac:dyDescent="0.25">
      <c r="A9" s="25" t="s">
        <v>28</v>
      </c>
      <c r="B9" s="33">
        <v>50</v>
      </c>
    </row>
    <row r="10" spans="1:2" x14ac:dyDescent="0.25">
      <c r="A10" s="25" t="s">
        <v>27</v>
      </c>
      <c r="B10" s="33">
        <v>60</v>
      </c>
    </row>
    <row r="11" spans="1:2" x14ac:dyDescent="0.25">
      <c r="A11" s="24" t="s">
        <v>43</v>
      </c>
      <c r="B11" s="33"/>
    </row>
    <row r="12" spans="1:2" x14ac:dyDescent="0.25">
      <c r="A12" s="25" t="s">
        <v>6</v>
      </c>
      <c r="B12" s="33">
        <v>1635</v>
      </c>
    </row>
    <row r="13" spans="1:2" x14ac:dyDescent="0.25">
      <c r="A13" s="25" t="s">
        <v>19</v>
      </c>
      <c r="B13" s="33">
        <v>750</v>
      </c>
    </row>
    <row r="14" spans="1:2" x14ac:dyDescent="0.25">
      <c r="A14" s="25" t="s">
        <v>23</v>
      </c>
      <c r="B14" s="33">
        <v>100</v>
      </c>
    </row>
    <row r="15" spans="1:2" x14ac:dyDescent="0.25">
      <c r="A15" s="25" t="s">
        <v>26</v>
      </c>
      <c r="B15" s="33">
        <v>100</v>
      </c>
    </row>
    <row r="16" spans="1:2" x14ac:dyDescent="0.25">
      <c r="A16" s="24" t="s">
        <v>56</v>
      </c>
      <c r="B16" s="33"/>
    </row>
    <row r="17" spans="1:2" x14ac:dyDescent="0.25">
      <c r="A17" s="25" t="s">
        <v>10</v>
      </c>
      <c r="B17" s="33">
        <v>550</v>
      </c>
    </row>
    <row r="18" spans="1:2" x14ac:dyDescent="0.25">
      <c r="A18" s="25" t="s">
        <v>25</v>
      </c>
      <c r="B18" s="33">
        <v>620</v>
      </c>
    </row>
    <row r="19" spans="1:2" x14ac:dyDescent="0.25">
      <c r="A19" s="24" t="s">
        <v>68</v>
      </c>
      <c r="B19" s="33">
        <v>4365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2952-E258-425B-BFD3-2F846B70C4C3}">
  <dimension ref="A1"/>
  <sheetViews>
    <sheetView workbookViewId="0">
      <selection activeCell="K19" sqref="K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2D6B-E9FC-4AD5-B3C7-44FC9F9622C0}">
  <dimension ref="A3:C11"/>
  <sheetViews>
    <sheetView topLeftCell="A2" zoomScale="140" zoomScaleNormal="140" workbookViewId="0">
      <selection activeCell="A3" sqref="A3"/>
    </sheetView>
  </sheetViews>
  <sheetFormatPr defaultRowHeight="15" x14ac:dyDescent="0.25"/>
  <cols>
    <col min="1" max="1" width="21.7109375" bestFit="1" customWidth="1"/>
    <col min="2" max="2" width="17.5703125" customWidth="1"/>
    <col min="3" max="3" width="13.85546875" customWidth="1"/>
    <col min="4" max="4" width="12.42578125" customWidth="1"/>
    <col min="5" max="5" width="16.42578125" customWidth="1"/>
    <col min="6" max="13" width="12.42578125" customWidth="1"/>
    <col min="14" max="14" width="12.140625" bestFit="1" customWidth="1"/>
    <col min="15" max="53" width="10.7109375" bestFit="1" customWidth="1"/>
  </cols>
  <sheetData>
    <row r="3" spans="1:3" x14ac:dyDescent="0.25">
      <c r="B3" s="23" t="s">
        <v>72</v>
      </c>
    </row>
    <row r="4" spans="1:3" x14ac:dyDescent="0.25">
      <c r="B4" t="s">
        <v>82</v>
      </c>
    </row>
    <row r="6" spans="1:3" x14ac:dyDescent="0.25">
      <c r="A6" s="23" t="s">
        <v>67</v>
      </c>
      <c r="B6" t="s">
        <v>71</v>
      </c>
      <c r="C6" t="s">
        <v>85</v>
      </c>
    </row>
    <row r="7" spans="1:3" x14ac:dyDescent="0.25">
      <c r="A7" s="24" t="s">
        <v>6</v>
      </c>
      <c r="B7" s="33">
        <v>100</v>
      </c>
      <c r="C7" s="34">
        <v>200</v>
      </c>
    </row>
    <row r="8" spans="1:3" x14ac:dyDescent="0.25">
      <c r="A8" s="24" t="s">
        <v>19</v>
      </c>
      <c r="B8" s="33">
        <v>46</v>
      </c>
      <c r="C8" s="34">
        <v>11.5</v>
      </c>
    </row>
    <row r="9" spans="1:3" x14ac:dyDescent="0.25">
      <c r="A9" s="24" t="s">
        <v>10</v>
      </c>
      <c r="B9" s="33">
        <v>55</v>
      </c>
      <c r="C9" s="34">
        <v>27.5</v>
      </c>
    </row>
    <row r="10" spans="1:3" x14ac:dyDescent="0.25">
      <c r="A10" s="24" t="s">
        <v>25</v>
      </c>
      <c r="B10" s="33">
        <v>35</v>
      </c>
      <c r="C10" s="34">
        <v>8.75</v>
      </c>
    </row>
    <row r="11" spans="1:3" x14ac:dyDescent="0.25">
      <c r="A11" s="24" t="s">
        <v>68</v>
      </c>
      <c r="B11" s="33">
        <v>236</v>
      </c>
      <c r="C11" s="34">
        <v>247.75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839F-D6B7-4E8D-8D6B-EE97DC4947DE}">
  <dimension ref="A3:N17"/>
  <sheetViews>
    <sheetView workbookViewId="0">
      <selection activeCell="A3" sqref="A3"/>
    </sheetView>
  </sheetViews>
  <sheetFormatPr defaultRowHeight="15" x14ac:dyDescent="0.25"/>
  <cols>
    <col min="1" max="1" width="29.42578125" bestFit="1" customWidth="1"/>
    <col min="2" max="13" width="8.42578125" customWidth="1"/>
    <col min="14" max="53" width="10.7109375" bestFit="1" customWidth="1"/>
  </cols>
  <sheetData>
    <row r="3" spans="1:14" x14ac:dyDescent="0.25">
      <c r="A3" s="23" t="s">
        <v>71</v>
      </c>
      <c r="B3" s="23" t="s">
        <v>72</v>
      </c>
    </row>
    <row r="4" spans="1:14" x14ac:dyDescent="0.25"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68</v>
      </c>
    </row>
    <row r="5" spans="1:14" x14ac:dyDescent="0.25">
      <c r="A5" s="23" t="s">
        <v>67</v>
      </c>
    </row>
    <row r="6" spans="1:14" x14ac:dyDescent="0.25">
      <c r="A6" s="24" t="s">
        <v>69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>
        <v>100</v>
      </c>
      <c r="M6" s="33"/>
      <c r="N6" s="33">
        <v>100</v>
      </c>
    </row>
    <row r="7" spans="1:14" x14ac:dyDescent="0.25">
      <c r="A7" s="24" t="s">
        <v>6</v>
      </c>
      <c r="B7" s="33">
        <v>100</v>
      </c>
      <c r="C7" s="33">
        <v>125</v>
      </c>
      <c r="D7" s="33">
        <v>150</v>
      </c>
      <c r="E7" s="33">
        <v>150</v>
      </c>
      <c r="F7" s="33">
        <v>100</v>
      </c>
      <c r="G7" s="33">
        <v>150</v>
      </c>
      <c r="H7" s="33">
        <v>150</v>
      </c>
      <c r="I7" s="33">
        <v>150</v>
      </c>
      <c r="J7" s="33">
        <v>180</v>
      </c>
      <c r="K7" s="33">
        <v>100</v>
      </c>
      <c r="L7" s="33">
        <v>80</v>
      </c>
      <c r="M7" s="33">
        <v>200</v>
      </c>
      <c r="N7" s="33">
        <v>1635</v>
      </c>
    </row>
    <row r="8" spans="1:14" x14ac:dyDescent="0.25">
      <c r="A8" s="24" t="s">
        <v>31</v>
      </c>
      <c r="B8" s="33"/>
      <c r="C8" s="33">
        <v>50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50</v>
      </c>
    </row>
    <row r="9" spans="1:14" x14ac:dyDescent="0.25">
      <c r="A9" s="24" t="s">
        <v>19</v>
      </c>
      <c r="B9" s="33">
        <v>90</v>
      </c>
      <c r="C9" s="33">
        <v>80</v>
      </c>
      <c r="D9" s="33">
        <v>40</v>
      </c>
      <c r="E9" s="33">
        <v>60</v>
      </c>
      <c r="F9" s="33">
        <v>45</v>
      </c>
      <c r="G9" s="33">
        <v>115</v>
      </c>
      <c r="H9" s="33">
        <v>120</v>
      </c>
      <c r="I9" s="33">
        <v>35</v>
      </c>
      <c r="J9" s="33">
        <v>34</v>
      </c>
      <c r="K9" s="33">
        <v>46</v>
      </c>
      <c r="L9" s="33">
        <v>45</v>
      </c>
      <c r="M9" s="33">
        <v>40</v>
      </c>
      <c r="N9" s="33">
        <v>750</v>
      </c>
    </row>
    <row r="10" spans="1:14" x14ac:dyDescent="0.25">
      <c r="A10" s="24" t="s">
        <v>10</v>
      </c>
      <c r="B10" s="33">
        <v>100</v>
      </c>
      <c r="C10" s="33">
        <v>100</v>
      </c>
      <c r="D10" s="33">
        <v>50</v>
      </c>
      <c r="E10" s="33">
        <v>50</v>
      </c>
      <c r="F10" s="33">
        <v>50</v>
      </c>
      <c r="G10" s="33">
        <v>45</v>
      </c>
      <c r="H10" s="33">
        <v>20</v>
      </c>
      <c r="I10" s="33">
        <v>30</v>
      </c>
      <c r="J10" s="33">
        <v>15</v>
      </c>
      <c r="K10" s="33">
        <v>55</v>
      </c>
      <c r="L10" s="33">
        <v>35</v>
      </c>
      <c r="M10" s="33"/>
      <c r="N10" s="33">
        <v>550</v>
      </c>
    </row>
    <row r="11" spans="1:14" x14ac:dyDescent="0.25">
      <c r="A11" s="24" t="s">
        <v>28</v>
      </c>
      <c r="B11" s="33"/>
      <c r="C11" s="33"/>
      <c r="D11" s="33"/>
      <c r="E11" s="33"/>
      <c r="F11" s="33"/>
      <c r="G11" s="33"/>
      <c r="H11" s="33"/>
      <c r="I11" s="33"/>
      <c r="J11" s="33">
        <v>50</v>
      </c>
      <c r="K11" s="33"/>
      <c r="L11" s="33"/>
      <c r="M11" s="33"/>
      <c r="N11" s="33">
        <v>50</v>
      </c>
    </row>
    <row r="12" spans="1:14" x14ac:dyDescent="0.25">
      <c r="A12" s="24" t="s">
        <v>27</v>
      </c>
      <c r="B12" s="33"/>
      <c r="C12" s="33"/>
      <c r="D12" s="33"/>
      <c r="E12" s="33"/>
      <c r="F12" s="33">
        <v>60</v>
      </c>
      <c r="G12" s="33"/>
      <c r="H12" s="33"/>
      <c r="I12" s="33"/>
      <c r="J12" s="33"/>
      <c r="K12" s="33"/>
      <c r="L12" s="33"/>
      <c r="M12" s="33"/>
      <c r="N12" s="33">
        <v>60</v>
      </c>
    </row>
    <row r="13" spans="1:14" x14ac:dyDescent="0.25">
      <c r="A13" s="24" t="s">
        <v>23</v>
      </c>
      <c r="B13" s="33"/>
      <c r="C13" s="33"/>
      <c r="D13" s="33"/>
      <c r="E13" s="33"/>
      <c r="F13" s="33"/>
      <c r="G13" s="33"/>
      <c r="H13" s="33"/>
      <c r="I13" s="33">
        <v>100</v>
      </c>
      <c r="J13" s="33"/>
      <c r="K13" s="33"/>
      <c r="L13" s="33"/>
      <c r="M13" s="33"/>
      <c r="N13" s="33">
        <v>100</v>
      </c>
    </row>
    <row r="14" spans="1:14" x14ac:dyDescent="0.25">
      <c r="A14" s="24" t="s">
        <v>25</v>
      </c>
      <c r="B14" s="33">
        <v>100</v>
      </c>
      <c r="C14" s="33">
        <v>85</v>
      </c>
      <c r="D14" s="33">
        <v>50</v>
      </c>
      <c r="E14" s="33">
        <v>90</v>
      </c>
      <c r="F14" s="33">
        <v>30</v>
      </c>
      <c r="G14" s="33">
        <v>100</v>
      </c>
      <c r="H14" s="33">
        <v>60</v>
      </c>
      <c r="I14" s="33">
        <v>30</v>
      </c>
      <c r="J14" s="33">
        <v>20</v>
      </c>
      <c r="K14" s="33">
        <v>35</v>
      </c>
      <c r="L14" s="33">
        <v>20</v>
      </c>
      <c r="M14" s="33"/>
      <c r="N14" s="33">
        <v>620</v>
      </c>
    </row>
    <row r="15" spans="1:14" x14ac:dyDescent="0.25">
      <c r="A15" s="24" t="s">
        <v>36</v>
      </c>
      <c r="B15" s="33"/>
      <c r="C15" s="33"/>
      <c r="D15" s="33">
        <v>250</v>
      </c>
      <c r="E15" s="33"/>
      <c r="F15" s="33"/>
      <c r="G15" s="33"/>
      <c r="H15" s="33"/>
      <c r="I15" s="33"/>
      <c r="J15" s="33">
        <v>100</v>
      </c>
      <c r="K15" s="33"/>
      <c r="L15" s="33"/>
      <c r="M15" s="33"/>
      <c r="N15" s="33">
        <v>350</v>
      </c>
    </row>
    <row r="16" spans="1:14" x14ac:dyDescent="0.25">
      <c r="A16" s="24" t="s">
        <v>26</v>
      </c>
      <c r="B16" s="33"/>
      <c r="C16" s="33"/>
      <c r="D16" s="33">
        <v>100</v>
      </c>
      <c r="E16" s="33"/>
      <c r="F16" s="33"/>
      <c r="G16" s="33"/>
      <c r="H16" s="33"/>
      <c r="I16" s="33"/>
      <c r="J16" s="33"/>
      <c r="K16" s="33"/>
      <c r="L16" s="33"/>
      <c r="M16" s="33"/>
      <c r="N16" s="33">
        <v>100</v>
      </c>
    </row>
    <row r="17" spans="1:14" x14ac:dyDescent="0.25">
      <c r="A17" s="24" t="s">
        <v>68</v>
      </c>
      <c r="B17" s="33">
        <v>390</v>
      </c>
      <c r="C17" s="33">
        <v>440</v>
      </c>
      <c r="D17" s="33">
        <v>640</v>
      </c>
      <c r="E17" s="33">
        <v>350</v>
      </c>
      <c r="F17" s="33">
        <v>285</v>
      </c>
      <c r="G17" s="33">
        <v>410</v>
      </c>
      <c r="H17" s="33">
        <v>350</v>
      </c>
      <c r="I17" s="33">
        <v>345</v>
      </c>
      <c r="J17" s="33">
        <v>399</v>
      </c>
      <c r="K17" s="33">
        <v>236</v>
      </c>
      <c r="L17" s="33">
        <v>280</v>
      </c>
      <c r="M17" s="33">
        <v>240</v>
      </c>
      <c r="N17" s="33">
        <v>4365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CC56-36B7-4ACB-9B81-325E71099216}">
  <dimension ref="B1:J31"/>
  <sheetViews>
    <sheetView showGridLines="0" topLeftCell="A11" zoomScale="140" zoomScaleNormal="140" workbookViewId="0">
      <selection activeCell="F5" sqref="F5"/>
    </sheetView>
  </sheetViews>
  <sheetFormatPr defaultColWidth="9.140625" defaultRowHeight="15" x14ac:dyDescent="0.25"/>
  <cols>
    <col min="1" max="1" width="5.28515625" customWidth="1"/>
    <col min="2" max="2" width="12.85546875" customWidth="1"/>
    <col min="3" max="3" width="22.5703125" bestFit="1" customWidth="1"/>
    <col min="4" max="4" width="19.7109375" bestFit="1" customWidth="1"/>
    <col min="5" max="5" width="18.42578125" customWidth="1"/>
    <col min="6" max="6" width="16.85546875" style="1" customWidth="1"/>
    <col min="7" max="7" width="16.85546875" customWidth="1"/>
    <col min="8" max="8" width="13.5703125" customWidth="1"/>
    <col min="9" max="9" width="15.28515625" customWidth="1"/>
  </cols>
  <sheetData>
    <row r="1" spans="2:10" s="6" customFormat="1" ht="60" customHeight="1" x14ac:dyDescent="0.25">
      <c r="E1" s="13" t="s">
        <v>0</v>
      </c>
      <c r="F1" s="14"/>
    </row>
    <row r="2" spans="2:10" s="8" customFormat="1" ht="6" customHeight="1" x14ac:dyDescent="0.25">
      <c r="F2" s="9"/>
    </row>
    <row r="4" spans="2:10" x14ac:dyDescent="0.25">
      <c r="B4" s="26" t="s">
        <v>70</v>
      </c>
      <c r="C4" s="21" t="s">
        <v>1</v>
      </c>
      <c r="D4" s="21" t="s">
        <v>2</v>
      </c>
      <c r="E4" s="21" t="s">
        <v>3</v>
      </c>
      <c r="F4" s="21" t="s">
        <v>4</v>
      </c>
      <c r="G4" s="21" t="s">
        <v>5</v>
      </c>
    </row>
    <row r="5" spans="2:10" ht="18" x14ac:dyDescent="0.35">
      <c r="B5" s="27">
        <v>510</v>
      </c>
      <c r="C5" s="10" t="s">
        <v>6</v>
      </c>
      <c r="D5" s="11" t="s">
        <v>7</v>
      </c>
      <c r="E5" s="11">
        <v>50</v>
      </c>
      <c r="F5" s="12">
        <v>2</v>
      </c>
      <c r="G5" s="12">
        <v>6</v>
      </c>
      <c r="H5" s="3"/>
      <c r="I5" s="3"/>
    </row>
    <row r="6" spans="2:10" ht="18" x14ac:dyDescent="0.35">
      <c r="B6" s="27">
        <v>512</v>
      </c>
      <c r="C6" s="10" t="s">
        <v>8</v>
      </c>
      <c r="D6" s="11" t="s">
        <v>9</v>
      </c>
      <c r="E6" s="11">
        <v>5</v>
      </c>
      <c r="F6" s="12">
        <v>1.5</v>
      </c>
      <c r="G6" s="12">
        <v>3</v>
      </c>
      <c r="I6" s="3"/>
    </row>
    <row r="7" spans="2:10" ht="18" x14ac:dyDescent="0.35">
      <c r="B7" s="27">
        <v>514</v>
      </c>
      <c r="C7" s="10" t="s">
        <v>10</v>
      </c>
      <c r="D7" s="11" t="s">
        <v>9</v>
      </c>
      <c r="E7" s="11">
        <v>50</v>
      </c>
      <c r="F7" s="12">
        <v>0.5</v>
      </c>
      <c r="G7" s="12">
        <v>6.5</v>
      </c>
      <c r="I7" s="3"/>
    </row>
    <row r="8" spans="2:10" ht="18" x14ac:dyDescent="0.35">
      <c r="B8" s="27">
        <v>516</v>
      </c>
      <c r="C8" s="10" t="s">
        <v>11</v>
      </c>
      <c r="D8" s="11" t="s">
        <v>9</v>
      </c>
      <c r="E8" s="11">
        <v>50</v>
      </c>
      <c r="F8" s="12">
        <v>1</v>
      </c>
      <c r="G8" s="12">
        <v>4.5</v>
      </c>
      <c r="I8" s="3"/>
    </row>
    <row r="9" spans="2:10" ht="18" x14ac:dyDescent="0.35">
      <c r="B9" s="27">
        <v>518</v>
      </c>
      <c r="C9" s="10" t="s">
        <v>12</v>
      </c>
      <c r="D9" s="11" t="s">
        <v>9</v>
      </c>
      <c r="E9" s="11">
        <v>50</v>
      </c>
      <c r="F9" s="12">
        <v>1</v>
      </c>
      <c r="G9" s="12">
        <v>4</v>
      </c>
      <c r="I9" s="3"/>
      <c r="J9" s="5"/>
    </row>
    <row r="10" spans="2:10" ht="18" x14ac:dyDescent="0.35">
      <c r="B10" s="27">
        <v>520</v>
      </c>
      <c r="C10" s="10" t="s">
        <v>13</v>
      </c>
      <c r="D10" s="11" t="s">
        <v>9</v>
      </c>
      <c r="E10" s="11">
        <v>50</v>
      </c>
      <c r="F10" s="12">
        <v>1</v>
      </c>
      <c r="G10" s="12">
        <v>4</v>
      </c>
    </row>
    <row r="11" spans="2:10" ht="18" x14ac:dyDescent="0.35">
      <c r="B11" s="27">
        <v>522</v>
      </c>
      <c r="C11" s="10" t="s">
        <v>14</v>
      </c>
      <c r="D11" s="11" t="s">
        <v>9</v>
      </c>
      <c r="E11" s="11">
        <v>50</v>
      </c>
      <c r="F11" s="12">
        <v>0.5</v>
      </c>
      <c r="G11" s="12">
        <v>4</v>
      </c>
    </row>
    <row r="12" spans="2:10" ht="18" x14ac:dyDescent="0.35">
      <c r="B12" s="27">
        <v>524</v>
      </c>
      <c r="C12" s="10" t="s">
        <v>15</v>
      </c>
      <c r="D12" s="11" t="s">
        <v>16</v>
      </c>
      <c r="E12" s="11">
        <v>15</v>
      </c>
      <c r="F12" s="12">
        <v>0.5</v>
      </c>
      <c r="G12" s="12">
        <v>2</v>
      </c>
    </row>
    <row r="13" spans="2:10" ht="18" x14ac:dyDescent="0.35">
      <c r="B13" s="27">
        <v>526</v>
      </c>
      <c r="C13" s="10" t="s">
        <v>17</v>
      </c>
      <c r="D13" s="11" t="s">
        <v>16</v>
      </c>
      <c r="E13" s="11">
        <v>15</v>
      </c>
      <c r="F13" s="12">
        <v>0.25</v>
      </c>
      <c r="G13" s="12">
        <v>1</v>
      </c>
    </row>
    <row r="14" spans="2:10" ht="18" x14ac:dyDescent="0.35">
      <c r="B14" s="27">
        <v>528</v>
      </c>
      <c r="C14" s="10" t="s">
        <v>18</v>
      </c>
      <c r="D14" s="11" t="s">
        <v>16</v>
      </c>
      <c r="E14" s="11">
        <v>15</v>
      </c>
      <c r="F14" s="12">
        <v>0.25</v>
      </c>
      <c r="G14" s="12">
        <v>1</v>
      </c>
    </row>
    <row r="15" spans="2:10" ht="18" x14ac:dyDescent="0.35">
      <c r="B15" s="27">
        <v>530</v>
      </c>
      <c r="C15" s="10" t="s">
        <v>19</v>
      </c>
      <c r="D15" s="11" t="s">
        <v>20</v>
      </c>
      <c r="E15" s="11">
        <v>10</v>
      </c>
      <c r="F15" s="12">
        <v>0.25</v>
      </c>
      <c r="G15" s="12">
        <v>8.5</v>
      </c>
    </row>
    <row r="16" spans="2:10" ht="18" x14ac:dyDescent="0.35">
      <c r="B16" s="27">
        <v>532</v>
      </c>
      <c r="C16" s="10" t="s">
        <v>21</v>
      </c>
      <c r="D16" s="11" t="s">
        <v>20</v>
      </c>
      <c r="E16" s="11">
        <v>12</v>
      </c>
      <c r="F16" s="12">
        <v>10</v>
      </c>
      <c r="G16" s="12">
        <v>5</v>
      </c>
    </row>
    <row r="17" spans="2:7" ht="18" x14ac:dyDescent="0.35">
      <c r="B17" s="27">
        <v>534</v>
      </c>
      <c r="C17" s="10" t="s">
        <v>22</v>
      </c>
      <c r="D17" s="11" t="s">
        <v>9</v>
      </c>
      <c r="E17" s="11">
        <v>4</v>
      </c>
      <c r="F17" s="12">
        <v>2</v>
      </c>
      <c r="G17" s="12">
        <v>2</v>
      </c>
    </row>
    <row r="18" spans="2:7" ht="18" x14ac:dyDescent="0.35">
      <c r="B18" s="27">
        <v>536</v>
      </c>
      <c r="C18" s="10" t="s">
        <v>23</v>
      </c>
      <c r="D18" s="11" t="s">
        <v>16</v>
      </c>
      <c r="E18" s="11">
        <v>10</v>
      </c>
      <c r="F18" s="12">
        <v>1</v>
      </c>
      <c r="G18" s="12">
        <v>5</v>
      </c>
    </row>
    <row r="19" spans="2:7" ht="18" x14ac:dyDescent="0.35">
      <c r="B19" s="27">
        <v>538</v>
      </c>
      <c r="C19" s="10" t="s">
        <v>24</v>
      </c>
      <c r="D19" s="11" t="s">
        <v>16</v>
      </c>
      <c r="E19" s="11">
        <v>2</v>
      </c>
      <c r="F19" s="12">
        <v>0.75</v>
      </c>
      <c r="G19" s="12">
        <v>1.5</v>
      </c>
    </row>
    <row r="20" spans="2:7" ht="18" x14ac:dyDescent="0.35">
      <c r="B20" s="27">
        <v>540</v>
      </c>
      <c r="C20" s="10" t="s">
        <v>25</v>
      </c>
      <c r="D20" s="11" t="s">
        <v>9</v>
      </c>
      <c r="E20" s="11">
        <v>10</v>
      </c>
      <c r="F20" s="12">
        <v>0.25</v>
      </c>
      <c r="G20" s="12">
        <v>7.5</v>
      </c>
    </row>
    <row r="21" spans="2:7" ht="18" x14ac:dyDescent="0.35">
      <c r="B21" s="27">
        <v>542</v>
      </c>
      <c r="C21" s="10" t="s">
        <v>26</v>
      </c>
      <c r="D21" s="11" t="s">
        <v>16</v>
      </c>
      <c r="E21" s="11">
        <v>5</v>
      </c>
      <c r="F21" s="12">
        <v>0.75</v>
      </c>
      <c r="G21" s="12">
        <v>10</v>
      </c>
    </row>
    <row r="22" spans="2:7" ht="18" x14ac:dyDescent="0.35">
      <c r="B22" s="27">
        <v>544</v>
      </c>
      <c r="C22" s="10" t="s">
        <v>27</v>
      </c>
      <c r="D22" s="11" t="s">
        <v>9</v>
      </c>
      <c r="E22" s="11">
        <v>2</v>
      </c>
      <c r="F22" s="12">
        <v>8</v>
      </c>
      <c r="G22" s="12">
        <v>15</v>
      </c>
    </row>
    <row r="23" spans="2:7" ht="18" x14ac:dyDescent="0.35">
      <c r="B23" s="27">
        <v>546</v>
      </c>
      <c r="C23" s="10" t="s">
        <v>28</v>
      </c>
      <c r="D23" s="11" t="s">
        <v>9</v>
      </c>
      <c r="E23" s="11">
        <v>2</v>
      </c>
      <c r="F23" s="12">
        <v>4.5</v>
      </c>
      <c r="G23" s="12">
        <v>15</v>
      </c>
    </row>
    <row r="24" spans="2:7" ht="18" x14ac:dyDescent="0.35">
      <c r="B24" s="27">
        <v>548</v>
      </c>
      <c r="C24" s="10" t="s">
        <v>29</v>
      </c>
      <c r="D24" s="11" t="s">
        <v>30</v>
      </c>
      <c r="E24" s="11">
        <v>5</v>
      </c>
      <c r="F24" s="12">
        <v>0.25</v>
      </c>
      <c r="G24" s="12">
        <v>2</v>
      </c>
    </row>
    <row r="25" spans="2:7" ht="18" x14ac:dyDescent="0.35">
      <c r="B25" s="27">
        <v>550</v>
      </c>
      <c r="C25" s="10" t="s">
        <v>31</v>
      </c>
      <c r="D25" s="11" t="s">
        <v>30</v>
      </c>
      <c r="E25" s="11">
        <v>5</v>
      </c>
      <c r="F25" s="12">
        <v>0.75</v>
      </c>
      <c r="G25" s="12">
        <v>8</v>
      </c>
    </row>
    <row r="26" spans="2:7" ht="18" x14ac:dyDescent="0.35">
      <c r="B26" s="27">
        <v>552</v>
      </c>
      <c r="C26" s="10" t="s">
        <v>32</v>
      </c>
      <c r="D26" s="11" t="s">
        <v>9</v>
      </c>
      <c r="E26" s="11">
        <v>2</v>
      </c>
      <c r="F26" s="12">
        <v>1</v>
      </c>
      <c r="G26" s="12">
        <v>3</v>
      </c>
    </row>
    <row r="27" spans="2:7" ht="18" x14ac:dyDescent="0.35">
      <c r="B27" s="27">
        <v>554</v>
      </c>
      <c r="C27" s="10" t="s">
        <v>33</v>
      </c>
      <c r="D27" s="11" t="s">
        <v>9</v>
      </c>
      <c r="E27" s="11">
        <v>2</v>
      </c>
      <c r="F27" s="12">
        <v>2.5</v>
      </c>
      <c r="G27" s="12">
        <v>3.5</v>
      </c>
    </row>
    <row r="28" spans="2:7" ht="18" x14ac:dyDescent="0.35">
      <c r="B28" s="27">
        <v>556</v>
      </c>
      <c r="C28" s="10" t="s">
        <v>34</v>
      </c>
      <c r="D28" s="11" t="s">
        <v>9</v>
      </c>
      <c r="E28" s="11">
        <v>2</v>
      </c>
      <c r="F28" s="12">
        <v>1.5</v>
      </c>
      <c r="G28" s="12">
        <v>3</v>
      </c>
    </row>
    <row r="29" spans="2:7" ht="18" x14ac:dyDescent="0.35">
      <c r="B29" s="27">
        <v>558</v>
      </c>
      <c r="C29" s="10" t="s">
        <v>35</v>
      </c>
      <c r="D29" s="11" t="s">
        <v>9</v>
      </c>
      <c r="E29" s="11">
        <v>2</v>
      </c>
      <c r="F29" s="12">
        <v>3</v>
      </c>
      <c r="G29" s="12">
        <v>4.5</v>
      </c>
    </row>
    <row r="30" spans="2:7" ht="18" x14ac:dyDescent="0.35">
      <c r="B30" s="27">
        <v>560</v>
      </c>
      <c r="C30" s="10" t="s">
        <v>36</v>
      </c>
      <c r="D30" s="11" t="s">
        <v>16</v>
      </c>
      <c r="E30" s="11">
        <v>10</v>
      </c>
      <c r="F30" s="12">
        <v>2</v>
      </c>
      <c r="G30" s="12">
        <v>8</v>
      </c>
    </row>
    <row r="31" spans="2:7" ht="18" x14ac:dyDescent="0.35">
      <c r="B31" s="27">
        <v>562</v>
      </c>
      <c r="C31" s="10" t="s">
        <v>37</v>
      </c>
      <c r="D31" s="11" t="s">
        <v>9</v>
      </c>
      <c r="E31" s="11">
        <v>10</v>
      </c>
      <c r="F31" s="12">
        <v>0.25</v>
      </c>
      <c r="G31" s="12">
        <v>5</v>
      </c>
    </row>
  </sheetData>
  <dataValidations count="1">
    <dataValidation type="custom" allowBlank="1" showInputMessage="1" showErrorMessage="1" errorTitle="Produto Duplicado" error="Não é permitido cadastrar dois produtos com mesmo nome na base de dados!" sqref="B5:C31" xr:uid="{6FD65472-361F-4C37-92CC-80C66E375847}">
      <formula1>COUNTIF(Lista_Produtos,B5)&lt;=1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3A1B-7859-43EA-97D0-F19D9DFDF7BB}">
  <dimension ref="B1:I9"/>
  <sheetViews>
    <sheetView showGridLines="0" zoomScale="160" zoomScaleNormal="160" workbookViewId="0">
      <selection activeCell="B6" sqref="B6:B7"/>
    </sheetView>
  </sheetViews>
  <sheetFormatPr defaultColWidth="9.140625" defaultRowHeight="15" x14ac:dyDescent="0.25"/>
  <cols>
    <col min="1" max="1" width="5.28515625" customWidth="1"/>
    <col min="2" max="2" width="8.5703125" customWidth="1"/>
    <col min="3" max="3" width="16.85546875" bestFit="1" customWidth="1"/>
    <col min="4" max="4" width="14.28515625" bestFit="1" customWidth="1"/>
    <col min="5" max="5" width="23.140625" customWidth="1"/>
    <col min="6" max="6" width="33.5703125" customWidth="1"/>
  </cols>
  <sheetData>
    <row r="1" spans="2:9" s="6" customFormat="1" ht="60" customHeight="1" x14ac:dyDescent="0.25">
      <c r="E1" s="13" t="s">
        <v>38</v>
      </c>
      <c r="F1" s="7"/>
    </row>
    <row r="2" spans="2:9" s="8" customFormat="1" ht="6" customHeight="1" x14ac:dyDescent="0.25">
      <c r="F2" s="9"/>
    </row>
    <row r="5" spans="2:9" x14ac:dyDescent="0.25">
      <c r="B5" s="26" t="s">
        <v>70</v>
      </c>
      <c r="C5" s="21" t="s">
        <v>39</v>
      </c>
      <c r="D5" s="21" t="s">
        <v>40</v>
      </c>
      <c r="E5" s="21" t="s">
        <v>41</v>
      </c>
      <c r="F5" s="21" t="s">
        <v>42</v>
      </c>
    </row>
    <row r="6" spans="2:9" ht="18" x14ac:dyDescent="0.35">
      <c r="B6" s="27">
        <v>10</v>
      </c>
      <c r="C6" s="10" t="s">
        <v>43</v>
      </c>
      <c r="D6" s="11" t="s">
        <v>44</v>
      </c>
      <c r="E6" s="11" t="s">
        <v>45</v>
      </c>
      <c r="F6" s="12" t="s">
        <v>46</v>
      </c>
    </row>
    <row r="7" spans="2:9" ht="18" x14ac:dyDescent="0.35">
      <c r="B7" s="27">
        <v>20</v>
      </c>
      <c r="C7" s="10" t="s">
        <v>47</v>
      </c>
      <c r="D7" s="11" t="s">
        <v>48</v>
      </c>
      <c r="E7" s="11" t="s">
        <v>49</v>
      </c>
      <c r="F7" s="12" t="s">
        <v>50</v>
      </c>
    </row>
    <row r="8" spans="2:9" ht="18" x14ac:dyDescent="0.35">
      <c r="B8" s="27">
        <v>30</v>
      </c>
      <c r="C8" s="10" t="s">
        <v>51</v>
      </c>
      <c r="D8" s="11" t="s">
        <v>52</v>
      </c>
      <c r="E8" s="11" t="s">
        <v>53</v>
      </c>
      <c r="F8" s="12" t="s">
        <v>54</v>
      </c>
      <c r="I8" t="s">
        <v>55</v>
      </c>
    </row>
    <row r="9" spans="2:9" ht="18" x14ac:dyDescent="0.35">
      <c r="B9" s="27">
        <v>40</v>
      </c>
      <c r="C9" s="10" t="s">
        <v>56</v>
      </c>
      <c r="D9" s="11" t="s">
        <v>57</v>
      </c>
      <c r="E9" s="11" t="s">
        <v>58</v>
      </c>
      <c r="F9" s="12" t="s">
        <v>59</v>
      </c>
    </row>
  </sheetData>
  <dataValidations count="1">
    <dataValidation type="custom" allowBlank="1" showInputMessage="1" showErrorMessage="1" errorTitle="Fornecedor Duplicado" error="Não é permitido cadastrar dois fornecedores com mesmo nome!" sqref="B6:C9" xr:uid="{CB0A8FAC-1E94-4C7B-B66C-BC840809AA8D}">
      <formula1>COUNTIF(Lista_Fornecedores,B6)&lt;=1</formula1>
    </dataValidation>
  </dataValidations>
  <hyperlinks>
    <hyperlink ref="F6" r:id="rId1" display="mailto:maria@mercadoexpress.com.br" xr:uid="{BFA96C7E-CFA4-43C1-BA94-93E939CAF61B}"/>
    <hyperlink ref="F7" r:id="rId2" xr:uid="{B2F5BAB3-8645-48D1-8743-F6B02EAFE6F1}"/>
    <hyperlink ref="F8" r:id="rId3" display="mailto:eduardo@distribuídoraks.com.br" xr:uid="{1E6B527E-51F9-4124-9C35-5E328A13FBAD}"/>
    <hyperlink ref="F9" r:id="rId4" display="mailto:claudia@salgadosgran.com.br" xr:uid="{6C1289BE-A6BD-4250-839B-0A00703A4967}"/>
  </hyperlinks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DA20-855E-4FED-9FAD-F203EB96D68D}">
  <dimension ref="B1:F60"/>
  <sheetViews>
    <sheetView showGridLines="0" topLeftCell="A45" zoomScale="140" zoomScaleNormal="140" workbookViewId="0">
      <selection activeCell="B6" sqref="B6:B59"/>
    </sheetView>
  </sheetViews>
  <sheetFormatPr defaultColWidth="9.140625" defaultRowHeight="15" x14ac:dyDescent="0.25"/>
  <cols>
    <col min="1" max="1" width="5.28515625" customWidth="1"/>
    <col min="2" max="2" width="15.7109375" customWidth="1"/>
    <col min="3" max="4" width="16.42578125" style="2" customWidth="1"/>
    <col min="5" max="5" width="22.85546875" customWidth="1"/>
    <col min="6" max="6" width="22.28515625" style="2" customWidth="1"/>
    <col min="7" max="7" width="17.42578125" customWidth="1"/>
    <col min="8" max="8" width="18.42578125" customWidth="1"/>
  </cols>
  <sheetData>
    <row r="1" spans="2:6" s="6" customFormat="1" ht="60" customHeight="1" x14ac:dyDescent="0.25">
      <c r="E1" s="13" t="s">
        <v>60</v>
      </c>
      <c r="F1" s="7"/>
    </row>
    <row r="2" spans="2:6" s="8" customFormat="1" ht="6" customHeight="1" x14ac:dyDescent="0.25">
      <c r="F2" s="9"/>
    </row>
    <row r="4" spans="2:6" x14ac:dyDescent="0.25">
      <c r="C4"/>
    </row>
    <row r="5" spans="2:6" s="4" customFormat="1" x14ac:dyDescent="0.25">
      <c r="B5" s="22" t="s">
        <v>61</v>
      </c>
      <c r="C5" s="28" t="s">
        <v>1</v>
      </c>
      <c r="D5" s="22" t="s">
        <v>62</v>
      </c>
      <c r="E5" s="22" t="s">
        <v>63</v>
      </c>
    </row>
    <row r="6" spans="2:6" ht="18" x14ac:dyDescent="0.35">
      <c r="B6" s="19">
        <v>44566</v>
      </c>
      <c r="C6" s="27">
        <v>510</v>
      </c>
      <c r="D6" s="11">
        <v>10</v>
      </c>
      <c r="E6" s="18">
        <v>100</v>
      </c>
      <c r="F6"/>
    </row>
    <row r="7" spans="2:6" ht="18" x14ac:dyDescent="0.35">
      <c r="B7" s="19">
        <v>44566</v>
      </c>
      <c r="C7" s="27">
        <v>514</v>
      </c>
      <c r="D7" s="11">
        <v>40</v>
      </c>
      <c r="E7" s="18">
        <v>100</v>
      </c>
      <c r="F7"/>
    </row>
    <row r="8" spans="2:6" ht="18" x14ac:dyDescent="0.35">
      <c r="B8" s="19">
        <v>44576</v>
      </c>
      <c r="C8" s="27">
        <v>530</v>
      </c>
      <c r="D8" s="11">
        <v>10</v>
      </c>
      <c r="E8" s="18">
        <v>90</v>
      </c>
      <c r="F8"/>
    </row>
    <row r="9" spans="2:6" ht="18" x14ac:dyDescent="0.35">
      <c r="B9" s="19">
        <v>44578</v>
      </c>
      <c r="C9" s="27">
        <v>540</v>
      </c>
      <c r="D9" s="11">
        <v>40</v>
      </c>
      <c r="E9" s="18">
        <v>100</v>
      </c>
      <c r="F9"/>
    </row>
    <row r="10" spans="2:6" ht="18" x14ac:dyDescent="0.35">
      <c r="B10" s="19">
        <v>44593</v>
      </c>
      <c r="C10" s="27">
        <v>540</v>
      </c>
      <c r="D10" s="11">
        <v>40</v>
      </c>
      <c r="E10" s="18">
        <v>85</v>
      </c>
      <c r="F10"/>
    </row>
    <row r="11" spans="2:6" ht="18" x14ac:dyDescent="0.35">
      <c r="B11" s="19">
        <v>44594</v>
      </c>
      <c r="C11" s="27">
        <v>530</v>
      </c>
      <c r="D11" s="11">
        <v>10</v>
      </c>
      <c r="E11" s="18">
        <v>80</v>
      </c>
      <c r="F11"/>
    </row>
    <row r="12" spans="2:6" ht="18" x14ac:dyDescent="0.35">
      <c r="B12" s="19">
        <v>44598</v>
      </c>
      <c r="C12" s="27">
        <v>510</v>
      </c>
      <c r="D12" s="11">
        <v>10</v>
      </c>
      <c r="E12" s="18">
        <v>125</v>
      </c>
      <c r="F12"/>
    </row>
    <row r="13" spans="2:6" ht="18" x14ac:dyDescent="0.35">
      <c r="B13" s="19">
        <v>44602</v>
      </c>
      <c r="C13" s="27">
        <v>550</v>
      </c>
      <c r="D13" s="11">
        <v>30</v>
      </c>
      <c r="E13" s="18">
        <v>50</v>
      </c>
      <c r="F13"/>
    </row>
    <row r="14" spans="2:6" ht="18" x14ac:dyDescent="0.35">
      <c r="B14" s="19">
        <v>44612</v>
      </c>
      <c r="C14" s="27">
        <v>514</v>
      </c>
      <c r="D14" s="11">
        <v>40</v>
      </c>
      <c r="E14" s="18">
        <v>100</v>
      </c>
      <c r="F14"/>
    </row>
    <row r="15" spans="2:6" ht="18" x14ac:dyDescent="0.35">
      <c r="B15" s="19">
        <v>44625</v>
      </c>
      <c r="C15" s="27">
        <v>560</v>
      </c>
      <c r="D15" s="11">
        <v>30</v>
      </c>
      <c r="E15" s="18">
        <v>250</v>
      </c>
      <c r="F15"/>
    </row>
    <row r="16" spans="2:6" ht="18" x14ac:dyDescent="0.35">
      <c r="B16" s="19">
        <v>44630</v>
      </c>
      <c r="C16" s="27">
        <v>540</v>
      </c>
      <c r="D16" s="11">
        <v>40</v>
      </c>
      <c r="E16" s="18">
        <v>50</v>
      </c>
      <c r="F16"/>
    </row>
    <row r="17" spans="2:6" ht="18" x14ac:dyDescent="0.35">
      <c r="B17" s="19">
        <v>44635</v>
      </c>
      <c r="C17" s="27">
        <v>510</v>
      </c>
      <c r="D17" s="11">
        <v>10</v>
      </c>
      <c r="E17" s="18">
        <v>150</v>
      </c>
      <c r="F17"/>
    </row>
    <row r="18" spans="2:6" ht="18" x14ac:dyDescent="0.35">
      <c r="B18" s="19">
        <v>44637</v>
      </c>
      <c r="C18" s="27">
        <v>542</v>
      </c>
      <c r="D18" s="11">
        <v>10</v>
      </c>
      <c r="E18" s="18">
        <v>100</v>
      </c>
      <c r="F18"/>
    </row>
    <row r="19" spans="2:6" ht="18" x14ac:dyDescent="0.35">
      <c r="B19" s="19">
        <v>44644</v>
      </c>
      <c r="C19" s="27">
        <v>530</v>
      </c>
      <c r="D19" s="11">
        <v>10</v>
      </c>
      <c r="E19" s="18">
        <v>40</v>
      </c>
      <c r="F19"/>
    </row>
    <row r="20" spans="2:6" ht="18" x14ac:dyDescent="0.35">
      <c r="B20" s="19">
        <v>44647</v>
      </c>
      <c r="C20" s="27">
        <v>514</v>
      </c>
      <c r="D20" s="11">
        <v>40</v>
      </c>
      <c r="E20" s="18">
        <v>50</v>
      </c>
      <c r="F20"/>
    </row>
    <row r="21" spans="2:6" ht="18" x14ac:dyDescent="0.35">
      <c r="B21" s="19">
        <v>44655</v>
      </c>
      <c r="C21" s="27">
        <v>540</v>
      </c>
      <c r="D21" s="11">
        <v>40</v>
      </c>
      <c r="E21" s="18">
        <v>90</v>
      </c>
      <c r="F21"/>
    </row>
    <row r="22" spans="2:6" ht="18" x14ac:dyDescent="0.35">
      <c r="B22" s="19">
        <v>44661</v>
      </c>
      <c r="C22" s="27">
        <v>510</v>
      </c>
      <c r="D22" s="11">
        <v>10</v>
      </c>
      <c r="E22" s="18">
        <v>150</v>
      </c>
      <c r="F22"/>
    </row>
    <row r="23" spans="2:6" ht="18" x14ac:dyDescent="0.35">
      <c r="B23" s="19">
        <v>44672</v>
      </c>
      <c r="C23" s="27">
        <v>530</v>
      </c>
      <c r="D23" s="11">
        <v>10</v>
      </c>
      <c r="E23" s="18">
        <v>60</v>
      </c>
      <c r="F23"/>
    </row>
    <row r="24" spans="2:6" ht="18" x14ac:dyDescent="0.35">
      <c r="B24" s="19">
        <v>44681</v>
      </c>
      <c r="C24" s="27">
        <v>514</v>
      </c>
      <c r="D24" s="11">
        <v>40</v>
      </c>
      <c r="E24" s="18">
        <v>50</v>
      </c>
      <c r="F24"/>
    </row>
    <row r="25" spans="2:6" ht="18" x14ac:dyDescent="0.35">
      <c r="B25" s="19">
        <v>44686</v>
      </c>
      <c r="C25" s="27">
        <v>544</v>
      </c>
      <c r="D25" s="11">
        <v>20</v>
      </c>
      <c r="E25" s="18">
        <v>60</v>
      </c>
      <c r="F25"/>
    </row>
    <row r="26" spans="2:6" ht="18" x14ac:dyDescent="0.35">
      <c r="B26" s="19">
        <v>44687</v>
      </c>
      <c r="C26" s="27">
        <v>514</v>
      </c>
      <c r="D26" s="11">
        <v>40</v>
      </c>
      <c r="E26" s="18">
        <v>50</v>
      </c>
      <c r="F26"/>
    </row>
    <row r="27" spans="2:6" ht="18" x14ac:dyDescent="0.35">
      <c r="B27" s="19">
        <v>44691</v>
      </c>
      <c r="C27" s="27">
        <v>540</v>
      </c>
      <c r="D27" s="11">
        <v>40</v>
      </c>
      <c r="E27" s="18">
        <v>30</v>
      </c>
      <c r="F27"/>
    </row>
    <row r="28" spans="2:6" ht="18" x14ac:dyDescent="0.35">
      <c r="B28" s="19">
        <v>44691</v>
      </c>
      <c r="C28" s="27">
        <v>510</v>
      </c>
      <c r="D28" s="11">
        <v>10</v>
      </c>
      <c r="E28" s="18">
        <v>100</v>
      </c>
      <c r="F28"/>
    </row>
    <row r="29" spans="2:6" ht="18" x14ac:dyDescent="0.35">
      <c r="B29" s="19">
        <v>44698</v>
      </c>
      <c r="C29" s="27">
        <v>530</v>
      </c>
      <c r="D29" s="11">
        <v>10</v>
      </c>
      <c r="E29" s="18">
        <v>45</v>
      </c>
      <c r="F29"/>
    </row>
    <row r="30" spans="2:6" ht="18" x14ac:dyDescent="0.35">
      <c r="B30" s="19">
        <v>44714</v>
      </c>
      <c r="C30" s="27">
        <v>510</v>
      </c>
      <c r="D30" s="11">
        <v>10</v>
      </c>
      <c r="E30" s="18">
        <v>150</v>
      </c>
      <c r="F30"/>
    </row>
    <row r="31" spans="2:6" ht="18" x14ac:dyDescent="0.35">
      <c r="B31" s="19">
        <v>44719</v>
      </c>
      <c r="C31" s="27">
        <v>530</v>
      </c>
      <c r="D31" s="11">
        <v>10</v>
      </c>
      <c r="E31" s="18">
        <v>115</v>
      </c>
      <c r="F31"/>
    </row>
    <row r="32" spans="2:6" ht="18" x14ac:dyDescent="0.35">
      <c r="B32" s="19">
        <v>44727</v>
      </c>
      <c r="C32" s="27">
        <v>540</v>
      </c>
      <c r="D32" s="11">
        <v>40</v>
      </c>
      <c r="E32" s="18">
        <v>100</v>
      </c>
      <c r="F32"/>
    </row>
    <row r="33" spans="2:6" ht="18" x14ac:dyDescent="0.35">
      <c r="B33" s="19">
        <v>44735</v>
      </c>
      <c r="C33" s="27">
        <v>514</v>
      </c>
      <c r="D33" s="11">
        <v>40</v>
      </c>
      <c r="E33" s="18">
        <v>45</v>
      </c>
      <c r="F33"/>
    </row>
    <row r="34" spans="2:6" ht="18" x14ac:dyDescent="0.35">
      <c r="B34" s="19">
        <v>44743</v>
      </c>
      <c r="C34" s="27">
        <v>510</v>
      </c>
      <c r="D34" s="11">
        <v>10</v>
      </c>
      <c r="E34" s="18">
        <v>150</v>
      </c>
      <c r="F34"/>
    </row>
    <row r="35" spans="2:6" ht="18" x14ac:dyDescent="0.35">
      <c r="B35" s="19">
        <v>44747</v>
      </c>
      <c r="C35" s="27">
        <v>540</v>
      </c>
      <c r="D35" s="11">
        <v>40</v>
      </c>
      <c r="E35" s="18">
        <v>60</v>
      </c>
      <c r="F35"/>
    </row>
    <row r="36" spans="2:6" ht="18" x14ac:dyDescent="0.35">
      <c r="B36" s="19">
        <v>44749</v>
      </c>
      <c r="C36" s="27">
        <v>530</v>
      </c>
      <c r="D36" s="11">
        <v>10</v>
      </c>
      <c r="E36" s="18">
        <v>120</v>
      </c>
      <c r="F36"/>
    </row>
    <row r="37" spans="2:6" ht="18" x14ac:dyDescent="0.35">
      <c r="B37" s="19">
        <v>44757</v>
      </c>
      <c r="C37" s="27">
        <v>514</v>
      </c>
      <c r="D37" s="11">
        <v>40</v>
      </c>
      <c r="E37" s="18">
        <v>20</v>
      </c>
      <c r="F37"/>
    </row>
    <row r="38" spans="2:6" ht="18" x14ac:dyDescent="0.35">
      <c r="B38" s="19">
        <v>44778</v>
      </c>
      <c r="C38" s="27">
        <v>530</v>
      </c>
      <c r="D38" s="11">
        <v>10</v>
      </c>
      <c r="E38" s="18">
        <v>35</v>
      </c>
      <c r="F38"/>
    </row>
    <row r="39" spans="2:6" ht="18" x14ac:dyDescent="0.35">
      <c r="B39" s="19">
        <v>44783</v>
      </c>
      <c r="C39" s="27">
        <v>536</v>
      </c>
      <c r="D39" s="11">
        <v>10</v>
      </c>
      <c r="E39" s="18">
        <v>100</v>
      </c>
      <c r="F39"/>
    </row>
    <row r="40" spans="2:6" ht="18" x14ac:dyDescent="0.35">
      <c r="B40" s="19">
        <v>44791</v>
      </c>
      <c r="C40" s="27">
        <v>540</v>
      </c>
      <c r="D40" s="11">
        <v>40</v>
      </c>
      <c r="E40" s="18">
        <v>30</v>
      </c>
      <c r="F40"/>
    </row>
    <row r="41" spans="2:6" ht="18" x14ac:dyDescent="0.35">
      <c r="B41" s="19">
        <v>44791</v>
      </c>
      <c r="C41" s="27">
        <v>514</v>
      </c>
      <c r="D41" s="11">
        <v>40</v>
      </c>
      <c r="E41" s="18">
        <v>30</v>
      </c>
      <c r="F41"/>
    </row>
    <row r="42" spans="2:6" ht="18" x14ac:dyDescent="0.35">
      <c r="B42" s="19">
        <v>44804</v>
      </c>
      <c r="C42" s="27">
        <v>510</v>
      </c>
      <c r="D42" s="11">
        <v>10</v>
      </c>
      <c r="E42" s="18">
        <v>150</v>
      </c>
      <c r="F42"/>
    </row>
    <row r="43" spans="2:6" ht="18" x14ac:dyDescent="0.35">
      <c r="B43" s="19">
        <v>44806</v>
      </c>
      <c r="C43" s="27">
        <v>560</v>
      </c>
      <c r="D43" s="11">
        <v>30</v>
      </c>
      <c r="E43" s="18">
        <v>100</v>
      </c>
      <c r="F43"/>
    </row>
    <row r="44" spans="2:6" ht="18" x14ac:dyDescent="0.35">
      <c r="B44" s="19">
        <v>44811</v>
      </c>
      <c r="C44" s="27">
        <v>530</v>
      </c>
      <c r="D44" s="11">
        <v>10</v>
      </c>
      <c r="E44" s="18">
        <v>34</v>
      </c>
      <c r="F44"/>
    </row>
    <row r="45" spans="2:6" ht="18" x14ac:dyDescent="0.35">
      <c r="B45" s="19">
        <v>44821</v>
      </c>
      <c r="C45" s="27">
        <v>546</v>
      </c>
      <c r="D45" s="11">
        <v>20</v>
      </c>
      <c r="E45" s="18">
        <v>50</v>
      </c>
      <c r="F45"/>
    </row>
    <row r="46" spans="2:6" ht="18" x14ac:dyDescent="0.35">
      <c r="B46" s="19">
        <v>44823</v>
      </c>
      <c r="C46" s="27">
        <v>540</v>
      </c>
      <c r="D46" s="11">
        <v>40</v>
      </c>
      <c r="E46" s="18">
        <v>20</v>
      </c>
      <c r="F46"/>
    </row>
    <row r="47" spans="2:6" ht="18" x14ac:dyDescent="0.35">
      <c r="B47" s="19">
        <v>44828</v>
      </c>
      <c r="C47" s="27">
        <v>514</v>
      </c>
      <c r="D47" s="11">
        <v>40</v>
      </c>
      <c r="E47" s="18">
        <v>15</v>
      </c>
      <c r="F47"/>
    </row>
    <row r="48" spans="2:6" ht="18" x14ac:dyDescent="0.35">
      <c r="B48" s="19">
        <v>44834</v>
      </c>
      <c r="C48" s="27">
        <v>510</v>
      </c>
      <c r="D48" s="11">
        <v>10</v>
      </c>
      <c r="E48" s="18">
        <v>180</v>
      </c>
      <c r="F48"/>
    </row>
    <row r="49" spans="2:6" ht="18" x14ac:dyDescent="0.35">
      <c r="B49" s="19">
        <v>44835</v>
      </c>
      <c r="C49" s="27">
        <v>530</v>
      </c>
      <c r="D49" s="11">
        <v>10</v>
      </c>
      <c r="E49" s="18">
        <v>46</v>
      </c>
      <c r="F49"/>
    </row>
    <row r="50" spans="2:6" ht="18" x14ac:dyDescent="0.35">
      <c r="B50" s="19">
        <v>44841</v>
      </c>
      <c r="C50" s="27">
        <v>540</v>
      </c>
      <c r="D50" s="11">
        <v>40</v>
      </c>
      <c r="E50" s="18">
        <v>35</v>
      </c>
      <c r="F50"/>
    </row>
    <row r="51" spans="2:6" ht="18" x14ac:dyDescent="0.35">
      <c r="B51" s="19">
        <v>44854</v>
      </c>
      <c r="C51" s="27">
        <v>510</v>
      </c>
      <c r="D51" s="11">
        <v>10</v>
      </c>
      <c r="E51" s="18">
        <v>100</v>
      </c>
      <c r="F51"/>
    </row>
    <row r="52" spans="2:6" ht="18" x14ac:dyDescent="0.35">
      <c r="B52" s="19">
        <v>44859</v>
      </c>
      <c r="C52" s="27">
        <v>514</v>
      </c>
      <c r="D52" s="11">
        <v>40</v>
      </c>
      <c r="E52" s="18">
        <v>55</v>
      </c>
      <c r="F52"/>
    </row>
    <row r="53" spans="2:6" ht="18" x14ac:dyDescent="0.35">
      <c r="B53" s="19">
        <v>44874</v>
      </c>
      <c r="C53" s="27">
        <v>548</v>
      </c>
      <c r="D53" s="11">
        <v>30</v>
      </c>
      <c r="E53" s="18">
        <v>100</v>
      </c>
      <c r="F53"/>
    </row>
    <row r="54" spans="2:6" ht="18" x14ac:dyDescent="0.35">
      <c r="B54" s="19">
        <v>44880</v>
      </c>
      <c r="C54" s="27">
        <v>510</v>
      </c>
      <c r="D54" s="11">
        <v>10</v>
      </c>
      <c r="E54" s="18">
        <v>80</v>
      </c>
      <c r="F54"/>
    </row>
    <row r="55" spans="2:6" ht="18" x14ac:dyDescent="0.35">
      <c r="B55" s="19">
        <v>44883</v>
      </c>
      <c r="C55" s="27">
        <v>530</v>
      </c>
      <c r="D55" s="11">
        <v>10</v>
      </c>
      <c r="E55" s="18">
        <v>45</v>
      </c>
      <c r="F55"/>
    </row>
    <row r="56" spans="2:6" ht="18" x14ac:dyDescent="0.35">
      <c r="B56" s="19">
        <v>44888</v>
      </c>
      <c r="C56" s="27">
        <v>540</v>
      </c>
      <c r="D56" s="11">
        <v>40</v>
      </c>
      <c r="E56" s="18">
        <v>20</v>
      </c>
      <c r="F56"/>
    </row>
    <row r="57" spans="2:6" ht="18" x14ac:dyDescent="0.35">
      <c r="B57" s="19">
        <v>44895</v>
      </c>
      <c r="C57" s="27">
        <v>514</v>
      </c>
      <c r="D57" s="11">
        <v>40</v>
      </c>
      <c r="E57" s="18">
        <v>35</v>
      </c>
      <c r="F57"/>
    </row>
    <row r="58" spans="2:6" ht="18" x14ac:dyDescent="0.35">
      <c r="B58" s="19">
        <v>44907</v>
      </c>
      <c r="C58" s="27">
        <v>510</v>
      </c>
      <c r="D58" s="11">
        <v>10</v>
      </c>
      <c r="E58" s="20">
        <v>200</v>
      </c>
      <c r="F58"/>
    </row>
    <row r="59" spans="2:6" ht="18" x14ac:dyDescent="0.35">
      <c r="B59" s="19">
        <v>44910</v>
      </c>
      <c r="C59" s="27">
        <v>530</v>
      </c>
      <c r="D59" s="11">
        <v>10</v>
      </c>
      <c r="E59" s="20">
        <v>40</v>
      </c>
      <c r="F59"/>
    </row>
    <row r="60" spans="2:6" x14ac:dyDescent="0.25">
      <c r="B60" s="3"/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E2FD-4588-4420-B1B1-ADF099648DDF}">
  <dimension ref="A1"/>
  <sheetViews>
    <sheetView tabSelected="1" workbookViewId="0">
      <selection activeCell="M14" sqref="M1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41A-892F-4677-8FC0-DD6D99AB3FB4}">
  <dimension ref="B1:G63"/>
  <sheetViews>
    <sheetView showGridLines="0" zoomScale="130" zoomScaleNormal="130" workbookViewId="0">
      <selection activeCell="C6" sqref="C6"/>
    </sheetView>
  </sheetViews>
  <sheetFormatPr defaultColWidth="9.140625" defaultRowHeight="15" x14ac:dyDescent="0.25"/>
  <cols>
    <col min="1" max="1" width="5.28515625" customWidth="1"/>
    <col min="2" max="2" width="15.28515625" customWidth="1"/>
    <col min="3" max="3" width="20.85546875" customWidth="1"/>
    <col min="4" max="4" width="23.28515625" customWidth="1"/>
    <col min="5" max="5" width="17.28515625" customWidth="1"/>
    <col min="6" max="6" width="17.5703125" customWidth="1"/>
    <col min="7" max="7" width="13" bestFit="1" customWidth="1"/>
  </cols>
  <sheetData>
    <row r="1" spans="2:7" s="6" customFormat="1" ht="60" customHeight="1" x14ac:dyDescent="0.25">
      <c r="D1" s="13" t="s">
        <v>64</v>
      </c>
      <c r="E1" s="7"/>
    </row>
    <row r="2" spans="2:7" s="8" customFormat="1" ht="6" customHeight="1" x14ac:dyDescent="0.25">
      <c r="E2" s="9"/>
    </row>
    <row r="5" spans="2:7" ht="30" x14ac:dyDescent="0.25">
      <c r="B5" s="15" t="s">
        <v>61</v>
      </c>
      <c r="C5" s="15" t="s">
        <v>86</v>
      </c>
      <c r="D5" s="15" t="s">
        <v>1</v>
      </c>
      <c r="E5" s="15" t="s">
        <v>65</v>
      </c>
      <c r="F5" s="29" t="s">
        <v>5</v>
      </c>
      <c r="G5" s="29" t="s">
        <v>66</v>
      </c>
    </row>
    <row r="6" spans="2:7" ht="18" x14ac:dyDescent="0.35">
      <c r="B6" s="16">
        <v>44566</v>
      </c>
      <c r="C6" s="32" cm="1">
        <f t="array" ref="C6">_xlfn.XLOOKUP(TB_Saídas[[#This Row],[Produto]],TB_Produtos[[#All],[Produto]],TB_Produtos[[#All],[Código]],,0)</f>
        <v>514</v>
      </c>
      <c r="D6" s="17" t="s">
        <v>10</v>
      </c>
      <c r="E6" s="11">
        <v>30</v>
      </c>
      <c r="F6" s="30" cm="1">
        <f t="array" ref="F6">_xlfn.XLOOKUP(TB_Saídas[[#This Row],[Produto]],TB_Produtos[[#All],[Produto]],TB_Produtos[[#All],[Preço Unitário]],"Produto não Encontrado",0,1)</f>
        <v>6.5</v>
      </c>
      <c r="G6" s="31">
        <f>IFERROR(TB_Saídas[[#This Row],[Quantidade Vendida]]*TB_Saídas[[#This Row],[Preço Unitário]],"Não foi possível calcular")</f>
        <v>195</v>
      </c>
    </row>
    <row r="7" spans="2:7" ht="18" x14ac:dyDescent="0.35">
      <c r="B7" s="16">
        <v>44567</v>
      </c>
      <c r="C7" s="32" cm="1">
        <f t="array" ref="C7">_xlfn.XLOOKUP(TB_Saídas[[#This Row],[Produto]],TB_Produtos[[#All],[Produto]],TB_Produtos[[#All],[Código]],,0)</f>
        <v>510</v>
      </c>
      <c r="D7" s="17" t="s">
        <v>6</v>
      </c>
      <c r="E7" s="11">
        <v>80</v>
      </c>
      <c r="F7" s="30" cm="1">
        <f t="array" ref="F7">_xlfn.XLOOKUP(TB_Saídas[[#This Row],[Produto]],TB_Produtos[[#All],[Produto]],TB_Produtos[[#All],[Preço Unitário]],"Produto não Encontrado",0,1)</f>
        <v>6</v>
      </c>
      <c r="G7" s="31">
        <f>IFERROR(TB_Saídas[[#This Row],[Quantidade Vendida]]*TB_Saídas[[#This Row],[Preço Unitário]],"Não foi possível calcular")</f>
        <v>480</v>
      </c>
    </row>
    <row r="8" spans="2:7" ht="18" x14ac:dyDescent="0.35">
      <c r="B8" s="16">
        <v>44581</v>
      </c>
      <c r="C8" s="32" cm="1">
        <f t="array" ref="C8">_xlfn.XLOOKUP(TB_Saídas[[#This Row],[Produto]],TB_Produtos[[#All],[Produto]],TB_Produtos[[#All],[Código]],,0)</f>
        <v>540</v>
      </c>
      <c r="D8" s="17" t="s">
        <v>25</v>
      </c>
      <c r="E8" s="11">
        <v>50</v>
      </c>
      <c r="F8" s="30" cm="1">
        <f t="array" ref="F8">_xlfn.XLOOKUP(TB_Saídas[[#This Row],[Produto]],TB_Produtos[[#All],[Produto]],TB_Produtos[[#All],[Preço Unitário]],"Produto não Encontrado",0,1)</f>
        <v>7.5</v>
      </c>
      <c r="G8" s="31">
        <f>IFERROR(TB_Saídas[[#This Row],[Quantidade Vendida]]*TB_Saídas[[#This Row],[Preço Unitário]],"Não foi possível calcular")</f>
        <v>375</v>
      </c>
    </row>
    <row r="9" spans="2:7" ht="18" x14ac:dyDescent="0.35">
      <c r="B9" s="16">
        <v>44586</v>
      </c>
      <c r="C9" s="32" cm="1">
        <f t="array" ref="C9">_xlfn.XLOOKUP(TB_Saídas[[#This Row],[Produto]],TB_Produtos[[#All],[Produto]],TB_Produtos[[#All],[Código]],,0)</f>
        <v>530</v>
      </c>
      <c r="D9" s="17" t="s">
        <v>19</v>
      </c>
      <c r="E9" s="11">
        <v>50</v>
      </c>
      <c r="F9" s="30" cm="1">
        <f t="array" ref="F9">_xlfn.XLOOKUP(TB_Saídas[[#This Row],[Produto]],TB_Produtos[[#All],[Produto]],TB_Produtos[[#All],[Preço Unitário]],"Produto não Encontrado",0,1)</f>
        <v>8.5</v>
      </c>
      <c r="G9" s="31">
        <f>IFERROR(TB_Saídas[[#This Row],[Quantidade Vendida]]*TB_Saídas[[#This Row],[Preço Unitário]],"Não foi possível calcular")</f>
        <v>425</v>
      </c>
    </row>
    <row r="10" spans="2:7" ht="18" x14ac:dyDescent="0.35">
      <c r="B10" s="16">
        <v>44597</v>
      </c>
      <c r="C10" s="32" cm="1">
        <f t="array" ref="C10">_xlfn.XLOOKUP(TB_Saídas[[#This Row],[Produto]],TB_Produtos[[#All],[Produto]],TB_Produtos[[#All],[Código]],,0)</f>
        <v>540</v>
      </c>
      <c r="D10" s="17" t="s">
        <v>25</v>
      </c>
      <c r="E10" s="11">
        <v>30</v>
      </c>
      <c r="F10" s="30" cm="1">
        <f t="array" ref="F10">_xlfn.XLOOKUP(TB_Saídas[[#This Row],[Produto]],TB_Produtos[[#All],[Produto]],TB_Produtos[[#All],[Preço Unitário]],"Produto não Encontrado",0,1)</f>
        <v>7.5</v>
      </c>
      <c r="G10" s="31">
        <f>IFERROR(TB_Saídas[[#This Row],[Quantidade Vendida]]*TB_Saídas[[#This Row],[Preço Unitário]],"Não foi possível calcular")</f>
        <v>225</v>
      </c>
    </row>
    <row r="11" spans="2:7" ht="18" x14ac:dyDescent="0.35">
      <c r="B11" s="16">
        <v>44598</v>
      </c>
      <c r="C11" s="32" cm="1">
        <f t="array" ref="C11">_xlfn.XLOOKUP(TB_Saídas[[#This Row],[Produto]],TB_Produtos[[#All],[Produto]],TB_Produtos[[#All],[Código]],,0)</f>
        <v>510</v>
      </c>
      <c r="D11" s="17" t="s">
        <v>6</v>
      </c>
      <c r="E11" s="11">
        <v>110</v>
      </c>
      <c r="F11" s="30" cm="1">
        <f t="array" ref="F11">_xlfn.XLOOKUP(TB_Saídas[[#This Row],[Produto]],TB_Produtos[[#All],[Produto]],TB_Produtos[[#All],[Preço Unitário]],"Produto não Encontrado",0,1)</f>
        <v>6</v>
      </c>
      <c r="G11" s="31">
        <f>IFERROR(TB_Saídas[[#This Row],[Quantidade Vendida]]*TB_Saídas[[#This Row],[Preço Unitário]],"Não foi possível calcular")</f>
        <v>660</v>
      </c>
    </row>
    <row r="12" spans="2:7" ht="18" x14ac:dyDescent="0.35">
      <c r="B12" s="16">
        <v>44602</v>
      </c>
      <c r="C12" s="32" cm="1">
        <f t="array" ref="C12">_xlfn.XLOOKUP(TB_Saídas[[#This Row],[Produto]],TB_Produtos[[#All],[Produto]],TB_Produtos[[#All],[Código]],,0)</f>
        <v>530</v>
      </c>
      <c r="D12" s="17" t="s">
        <v>19</v>
      </c>
      <c r="E12" s="11">
        <v>75</v>
      </c>
      <c r="F12" s="30" cm="1">
        <f t="array" ref="F12">_xlfn.XLOOKUP(TB_Saídas[[#This Row],[Produto]],TB_Produtos[[#All],[Produto]],TB_Produtos[[#All],[Preço Unitário]],"Produto não Encontrado",0,1)</f>
        <v>8.5</v>
      </c>
      <c r="G12" s="31">
        <f>IFERROR(TB_Saídas[[#This Row],[Quantidade Vendida]]*TB_Saídas[[#This Row],[Preço Unitário]],"Não foi possível calcular")</f>
        <v>637.5</v>
      </c>
    </row>
    <row r="13" spans="2:7" ht="18" x14ac:dyDescent="0.35">
      <c r="B13" s="16">
        <v>44620</v>
      </c>
      <c r="C13" s="32" cm="1">
        <f t="array" ref="C13">_xlfn.XLOOKUP(TB_Saídas[[#This Row],[Produto]],TB_Produtos[[#All],[Produto]],TB_Produtos[[#All],[Código]],,0)</f>
        <v>514</v>
      </c>
      <c r="D13" s="17" t="s">
        <v>10</v>
      </c>
      <c r="E13" s="11">
        <v>20</v>
      </c>
      <c r="F13" s="30" cm="1">
        <f t="array" ref="F13">_xlfn.XLOOKUP(TB_Saídas[[#This Row],[Produto]],TB_Produtos[[#All],[Produto]],TB_Produtos[[#All],[Preço Unitário]],"Produto não Encontrado",0,1)</f>
        <v>6.5</v>
      </c>
      <c r="G13" s="31">
        <f>IFERROR(TB_Saídas[[#This Row],[Quantidade Vendida]]*TB_Saídas[[#This Row],[Preço Unitário]],"Não foi possível calcular")</f>
        <v>130</v>
      </c>
    </row>
    <row r="14" spans="2:7" ht="18" x14ac:dyDescent="0.35">
      <c r="B14" s="16">
        <v>44626</v>
      </c>
      <c r="C14" s="32" cm="1">
        <f t="array" ref="C14">_xlfn.XLOOKUP(TB_Saídas[[#This Row],[Produto]],TB_Produtos[[#All],[Produto]],TB_Produtos[[#All],[Código]],,0)</f>
        <v>560</v>
      </c>
      <c r="D14" s="17" t="s">
        <v>36</v>
      </c>
      <c r="E14" s="11">
        <v>110</v>
      </c>
      <c r="F14" s="30" cm="1">
        <f t="array" ref="F14">_xlfn.XLOOKUP(TB_Saídas[[#This Row],[Produto]],TB_Produtos[[#All],[Produto]],TB_Produtos[[#All],[Preço Unitário]],"Produto não Encontrado",0,1)</f>
        <v>8</v>
      </c>
      <c r="G14" s="31">
        <f>IFERROR(TB_Saídas[[#This Row],[Quantidade Vendida]]*TB_Saídas[[#This Row],[Preço Unitário]],"Não foi possível calcular")</f>
        <v>880</v>
      </c>
    </row>
    <row r="15" spans="2:7" ht="18" x14ac:dyDescent="0.35">
      <c r="B15" s="16">
        <v>44631</v>
      </c>
      <c r="C15" s="32" cm="1">
        <f t="array" ref="C15">_xlfn.XLOOKUP(TB_Saídas[[#This Row],[Produto]],TB_Produtos[[#All],[Produto]],TB_Produtos[[#All],[Código]],,0)</f>
        <v>540</v>
      </c>
      <c r="D15" s="17" t="s">
        <v>25</v>
      </c>
      <c r="E15" s="11">
        <v>40</v>
      </c>
      <c r="F15" s="30" cm="1">
        <f t="array" ref="F15">_xlfn.XLOOKUP(TB_Saídas[[#This Row],[Produto]],TB_Produtos[[#All],[Produto]],TB_Produtos[[#All],[Preço Unitário]],"Produto não Encontrado",0,1)</f>
        <v>7.5</v>
      </c>
      <c r="G15" s="31">
        <f>IFERROR(TB_Saídas[[#This Row],[Quantidade Vendida]]*TB_Saídas[[#This Row],[Preço Unitário]],"Não foi possível calcular")</f>
        <v>300</v>
      </c>
    </row>
    <row r="16" spans="2:7" ht="18" x14ac:dyDescent="0.35">
      <c r="B16" s="16">
        <v>44646</v>
      </c>
      <c r="C16" s="32" cm="1">
        <f t="array" ref="C16">_xlfn.XLOOKUP(TB_Saídas[[#This Row],[Produto]],TB_Produtos[[#All],[Produto]],TB_Produtos[[#All],[Código]],,0)</f>
        <v>530</v>
      </c>
      <c r="D16" s="17" t="s">
        <v>19</v>
      </c>
      <c r="E16" s="11">
        <v>50</v>
      </c>
      <c r="F16" s="30" cm="1">
        <f t="array" ref="F16">_xlfn.XLOOKUP(TB_Saídas[[#This Row],[Produto]],TB_Produtos[[#All],[Produto]],TB_Produtos[[#All],[Preço Unitário]],"Produto não Encontrado",0,1)</f>
        <v>8.5</v>
      </c>
      <c r="G16" s="31">
        <f>IFERROR(TB_Saídas[[#This Row],[Quantidade Vendida]]*TB_Saídas[[#This Row],[Preço Unitário]],"Não foi possível calcular")</f>
        <v>425</v>
      </c>
    </row>
    <row r="17" spans="2:7" ht="18" x14ac:dyDescent="0.35">
      <c r="B17" s="16">
        <v>44649</v>
      </c>
      <c r="C17" s="32" cm="1">
        <f t="array" ref="C17">_xlfn.XLOOKUP(TB_Saídas[[#This Row],[Produto]],TB_Produtos[[#All],[Produto]],TB_Produtos[[#All],[Código]],,0)</f>
        <v>514</v>
      </c>
      <c r="D17" s="17" t="s">
        <v>10</v>
      </c>
      <c r="E17" s="11">
        <v>15</v>
      </c>
      <c r="F17" s="30" cm="1">
        <f t="array" ref="F17">_xlfn.XLOOKUP(TB_Saídas[[#This Row],[Produto]],TB_Produtos[[#All],[Produto]],TB_Produtos[[#All],[Preço Unitário]],"Produto não Encontrado",0,1)</f>
        <v>6.5</v>
      </c>
      <c r="G17" s="31">
        <f>IFERROR(TB_Saídas[[#This Row],[Quantidade Vendida]]*TB_Saídas[[#This Row],[Preço Unitário]],"Não foi possível calcular")</f>
        <v>97.5</v>
      </c>
    </row>
    <row r="18" spans="2:7" ht="18" x14ac:dyDescent="0.35">
      <c r="B18" s="16">
        <v>44630</v>
      </c>
      <c r="C18" s="32" cm="1">
        <f t="array" ref="C18">_xlfn.XLOOKUP(TB_Saídas[[#This Row],[Produto]],TB_Produtos[[#All],[Produto]],TB_Produtos[[#All],[Código]],,0)</f>
        <v>510</v>
      </c>
      <c r="D18" s="17" t="s">
        <v>6</v>
      </c>
      <c r="E18" s="11">
        <v>100</v>
      </c>
      <c r="F18" s="30" cm="1">
        <f t="array" ref="F18">_xlfn.XLOOKUP(TB_Saídas[[#This Row],[Produto]],TB_Produtos[[#All],[Produto]],TB_Produtos[[#All],[Preço Unitário]],"Produto não Encontrado",0,1)</f>
        <v>6</v>
      </c>
      <c r="G18" s="31">
        <f>IFERROR(TB_Saídas[[#This Row],[Quantidade Vendida]]*TB_Saídas[[#This Row],[Preço Unitário]],"Não foi possível calcular")</f>
        <v>600</v>
      </c>
    </row>
    <row r="19" spans="2:7" ht="18" x14ac:dyDescent="0.35">
      <c r="B19" s="16">
        <v>44659</v>
      </c>
      <c r="C19" s="32" cm="1">
        <f t="array" ref="C19">_xlfn.XLOOKUP(TB_Saídas[[#This Row],[Produto]],TB_Produtos[[#All],[Produto]],TB_Produtos[[#All],[Código]],,0)</f>
        <v>514</v>
      </c>
      <c r="D19" s="17" t="s">
        <v>10</v>
      </c>
      <c r="E19" s="11">
        <v>40</v>
      </c>
      <c r="F19" s="30" cm="1">
        <f t="array" ref="F19">_xlfn.XLOOKUP(TB_Saídas[[#This Row],[Produto]],TB_Produtos[[#All],[Produto]],TB_Produtos[[#All],[Preço Unitário]],"Produto não Encontrado",0,1)</f>
        <v>6.5</v>
      </c>
      <c r="G19" s="31">
        <f>IFERROR(TB_Saídas[[#This Row],[Quantidade Vendida]]*TB_Saídas[[#This Row],[Preço Unitário]],"Não foi possível calcular")</f>
        <v>260</v>
      </c>
    </row>
    <row r="20" spans="2:7" ht="18" x14ac:dyDescent="0.35">
      <c r="B20" s="16">
        <v>44663</v>
      </c>
      <c r="C20" s="32" cm="1">
        <f t="array" ref="C20">_xlfn.XLOOKUP(TB_Saídas[[#This Row],[Produto]],TB_Produtos[[#All],[Produto]],TB_Produtos[[#All],[Código]],,0)</f>
        <v>510</v>
      </c>
      <c r="D20" s="17" t="s">
        <v>6</v>
      </c>
      <c r="E20" s="11">
        <v>75</v>
      </c>
      <c r="F20" s="30" cm="1">
        <f t="array" ref="F20">_xlfn.XLOOKUP(TB_Saídas[[#This Row],[Produto]],TB_Produtos[[#All],[Produto]],TB_Produtos[[#All],[Preço Unitário]],"Produto não Encontrado",0,1)</f>
        <v>6</v>
      </c>
      <c r="G20" s="31">
        <f>IFERROR(TB_Saídas[[#This Row],[Quantidade Vendida]]*TB_Saídas[[#This Row],[Preço Unitário]],"Não foi possível calcular")</f>
        <v>450</v>
      </c>
    </row>
    <row r="21" spans="2:7" ht="18" x14ac:dyDescent="0.35">
      <c r="B21" s="16">
        <v>44667</v>
      </c>
      <c r="C21" s="32" cm="1">
        <f t="array" ref="C21">_xlfn.XLOOKUP(TB_Saídas[[#This Row],[Produto]],TB_Produtos[[#All],[Produto]],TB_Produtos[[#All],[Código]],,0)</f>
        <v>550</v>
      </c>
      <c r="D21" s="17" t="s">
        <v>31</v>
      </c>
      <c r="E21" s="11">
        <v>25</v>
      </c>
      <c r="F21" s="30" cm="1">
        <f t="array" ref="F21">_xlfn.XLOOKUP(TB_Saídas[[#This Row],[Produto]],TB_Produtos[[#All],[Produto]],TB_Produtos[[#All],[Preço Unitário]],"Produto não Encontrado",0,1)</f>
        <v>8</v>
      </c>
      <c r="G21" s="31">
        <f>IFERROR(TB_Saídas[[#This Row],[Quantidade Vendida]]*TB_Saídas[[#This Row],[Preço Unitário]],"Não foi possível calcular")</f>
        <v>200</v>
      </c>
    </row>
    <row r="22" spans="2:7" ht="18" x14ac:dyDescent="0.35">
      <c r="B22" s="16">
        <v>44671</v>
      </c>
      <c r="C22" s="32" cm="1">
        <f t="array" ref="C22">_xlfn.XLOOKUP(TB_Saídas[[#This Row],[Produto]],TB_Produtos[[#All],[Produto]],TB_Produtos[[#All],[Código]],,0)</f>
        <v>540</v>
      </c>
      <c r="D22" s="17" t="s">
        <v>25</v>
      </c>
      <c r="E22" s="11">
        <v>40</v>
      </c>
      <c r="F22" s="30" cm="1">
        <f t="array" ref="F22">_xlfn.XLOOKUP(TB_Saídas[[#This Row],[Produto]],TB_Produtos[[#All],[Produto]],TB_Produtos[[#All],[Preço Unitário]],"Produto não Encontrado",0,1)</f>
        <v>7.5</v>
      </c>
      <c r="G22" s="31">
        <f>IFERROR(TB_Saídas[[#This Row],[Quantidade Vendida]]*TB_Saídas[[#This Row],[Preço Unitário]],"Não foi possível calcular")</f>
        <v>300</v>
      </c>
    </row>
    <row r="23" spans="2:7" ht="18" x14ac:dyDescent="0.35">
      <c r="B23" s="16">
        <v>44681</v>
      </c>
      <c r="C23" s="32" cm="1">
        <f t="array" ref="C23">_xlfn.XLOOKUP(TB_Saídas[[#This Row],[Produto]],TB_Produtos[[#All],[Produto]],TB_Produtos[[#All],[Código]],,0)</f>
        <v>530</v>
      </c>
      <c r="D23" s="17" t="s">
        <v>19</v>
      </c>
      <c r="E23" s="11">
        <v>35</v>
      </c>
      <c r="F23" s="30" cm="1">
        <f t="array" ref="F23">_xlfn.XLOOKUP(TB_Saídas[[#This Row],[Produto]],TB_Produtos[[#All],[Produto]],TB_Produtos[[#All],[Preço Unitário]],"Produto não Encontrado",0,1)</f>
        <v>8.5</v>
      </c>
      <c r="G23" s="31">
        <f>IFERROR(TB_Saídas[[#This Row],[Quantidade Vendida]]*TB_Saídas[[#This Row],[Preço Unitário]],"Não foi possível calcular")</f>
        <v>297.5</v>
      </c>
    </row>
    <row r="24" spans="2:7" ht="18" x14ac:dyDescent="0.35">
      <c r="B24" s="16">
        <v>44691</v>
      </c>
      <c r="C24" s="32" cm="1">
        <f t="array" ref="C24">_xlfn.XLOOKUP(TB_Saídas[[#This Row],[Produto]],TB_Produtos[[#All],[Produto]],TB_Produtos[[#All],[Código]],,0)</f>
        <v>540</v>
      </c>
      <c r="D24" s="17" t="s">
        <v>25</v>
      </c>
      <c r="E24" s="11">
        <v>35</v>
      </c>
      <c r="F24" s="30" cm="1">
        <f t="array" ref="F24">_xlfn.XLOOKUP(TB_Saídas[[#This Row],[Produto]],TB_Produtos[[#All],[Produto]],TB_Produtos[[#All],[Preço Unitário]],"Produto não Encontrado",0,1)</f>
        <v>7.5</v>
      </c>
      <c r="G24" s="31">
        <f>IFERROR(TB_Saídas[[#This Row],[Quantidade Vendida]]*TB_Saídas[[#This Row],[Preço Unitário]],"Não foi possível calcular")</f>
        <v>262.5</v>
      </c>
    </row>
    <row r="25" spans="2:7" ht="18" x14ac:dyDescent="0.35">
      <c r="B25" s="16">
        <v>44692</v>
      </c>
      <c r="C25" s="32" cm="1">
        <f t="array" ref="C25">_xlfn.XLOOKUP(TB_Saídas[[#This Row],[Produto]],TB_Produtos[[#All],[Produto]],TB_Produtos[[#All],[Código]],,0)</f>
        <v>544</v>
      </c>
      <c r="D25" s="17" t="s">
        <v>27</v>
      </c>
      <c r="E25" s="11">
        <v>20</v>
      </c>
      <c r="F25" s="30" cm="1">
        <f t="array" ref="F25">_xlfn.XLOOKUP(TB_Saídas[[#This Row],[Produto]],TB_Produtos[[#All],[Produto]],TB_Produtos[[#All],[Preço Unitário]],"Produto não Encontrado",0,1)</f>
        <v>15</v>
      </c>
      <c r="G25" s="31">
        <f>IFERROR(TB_Saídas[[#This Row],[Quantidade Vendida]]*TB_Saídas[[#This Row],[Preço Unitário]],"Não foi possível calcular")</f>
        <v>300</v>
      </c>
    </row>
    <row r="26" spans="2:7" ht="18" x14ac:dyDescent="0.35">
      <c r="B26" s="16">
        <v>44692</v>
      </c>
      <c r="C26" s="32" cm="1">
        <f t="array" ref="C26">_xlfn.XLOOKUP(TB_Saídas[[#This Row],[Produto]],TB_Produtos[[#All],[Produto]],TB_Produtos[[#All],[Código]],,0)</f>
        <v>510</v>
      </c>
      <c r="D26" s="17" t="s">
        <v>6</v>
      </c>
      <c r="E26" s="11">
        <v>75</v>
      </c>
      <c r="F26" s="30" cm="1">
        <f t="array" ref="F26">_xlfn.XLOOKUP(TB_Saídas[[#This Row],[Produto]],TB_Produtos[[#All],[Produto]],TB_Produtos[[#All],[Preço Unitário]],"Produto não Encontrado",0,1)</f>
        <v>6</v>
      </c>
      <c r="G26" s="31">
        <f>IFERROR(TB_Saídas[[#This Row],[Quantidade Vendida]]*TB_Saídas[[#This Row],[Preço Unitário]],"Não foi possível calcular")</f>
        <v>450</v>
      </c>
    </row>
    <row r="27" spans="2:7" ht="18" x14ac:dyDescent="0.35">
      <c r="B27" s="16">
        <v>44700</v>
      </c>
      <c r="C27" s="32" cm="1">
        <f t="array" ref="C27">_xlfn.XLOOKUP(TB_Saídas[[#This Row],[Produto]],TB_Produtos[[#All],[Produto]],TB_Produtos[[#All],[Código]],,0)</f>
        <v>530</v>
      </c>
      <c r="D27" s="17" t="s">
        <v>19</v>
      </c>
      <c r="E27" s="11">
        <v>27</v>
      </c>
      <c r="F27" s="30" cm="1">
        <f t="array" ref="F27">_xlfn.XLOOKUP(TB_Saídas[[#This Row],[Produto]],TB_Produtos[[#All],[Produto]],TB_Produtos[[#All],[Preço Unitário]],"Produto não Encontrado",0,1)</f>
        <v>8.5</v>
      </c>
      <c r="G27" s="31">
        <f>IFERROR(TB_Saídas[[#This Row],[Quantidade Vendida]]*TB_Saídas[[#This Row],[Preço Unitário]],"Não foi possível calcular")</f>
        <v>229.5</v>
      </c>
    </row>
    <row r="28" spans="2:7" ht="18" x14ac:dyDescent="0.35">
      <c r="B28" s="16">
        <v>44700</v>
      </c>
      <c r="C28" s="32" cm="1">
        <f t="array" ref="C28">_xlfn.XLOOKUP(TB_Saídas[[#This Row],[Produto]],TB_Produtos[[#All],[Produto]],TB_Produtos[[#All],[Código]],,0)</f>
        <v>514</v>
      </c>
      <c r="D28" s="17" t="s">
        <v>10</v>
      </c>
      <c r="E28" s="11">
        <v>20</v>
      </c>
      <c r="F28" s="30" cm="1">
        <f t="array" ref="F28">_xlfn.XLOOKUP(TB_Saídas[[#This Row],[Produto]],TB_Produtos[[#All],[Produto]],TB_Produtos[[#All],[Preço Unitário]],"Produto não Encontrado",0,1)</f>
        <v>6.5</v>
      </c>
      <c r="G28" s="31">
        <f>IFERROR(TB_Saídas[[#This Row],[Quantidade Vendida]]*TB_Saídas[[#This Row],[Preço Unitário]],"Não foi possível calcular")</f>
        <v>130</v>
      </c>
    </row>
    <row r="29" spans="2:7" ht="18" x14ac:dyDescent="0.35">
      <c r="B29" s="16">
        <v>44737</v>
      </c>
      <c r="C29" s="32" cm="1">
        <f t="array" ref="C29">_xlfn.XLOOKUP(TB_Saídas[[#This Row],[Produto]],TB_Produtos[[#All],[Produto]],TB_Produtos[[#All],[Código]],,0)</f>
        <v>530</v>
      </c>
      <c r="D29" s="17" t="s">
        <v>19</v>
      </c>
      <c r="E29" s="11">
        <v>35</v>
      </c>
      <c r="F29" s="30" cm="1">
        <f t="array" ref="F29">_xlfn.XLOOKUP(TB_Saídas[[#This Row],[Produto]],TB_Produtos[[#All],[Produto]],TB_Produtos[[#All],[Preço Unitário]],"Produto não Encontrado",0,1)</f>
        <v>8.5</v>
      </c>
      <c r="G29" s="31">
        <f>IFERROR(TB_Saídas[[#This Row],[Quantidade Vendida]]*TB_Saídas[[#This Row],[Preço Unitário]],"Não foi possível calcular")</f>
        <v>297.5</v>
      </c>
    </row>
    <row r="30" spans="2:7" ht="18" x14ac:dyDescent="0.35">
      <c r="B30" s="16">
        <v>44738</v>
      </c>
      <c r="C30" s="32" cm="1">
        <f t="array" ref="C30">_xlfn.XLOOKUP(TB_Saídas[[#This Row],[Produto]],TB_Produtos[[#All],[Produto]],TB_Produtos[[#All],[Código]],,0)</f>
        <v>510</v>
      </c>
      <c r="D30" s="17" t="s">
        <v>6</v>
      </c>
      <c r="E30" s="11">
        <v>100</v>
      </c>
      <c r="F30" s="30" cm="1">
        <f t="array" ref="F30">_xlfn.XLOOKUP(TB_Saídas[[#This Row],[Produto]],TB_Produtos[[#All],[Produto]],TB_Produtos[[#All],[Preço Unitário]],"Produto não Encontrado",0,1)</f>
        <v>6</v>
      </c>
      <c r="G30" s="31">
        <f>IFERROR(TB_Saídas[[#This Row],[Quantidade Vendida]]*TB_Saídas[[#This Row],[Preço Unitário]],"Não foi possível calcular")</f>
        <v>600</v>
      </c>
    </row>
    <row r="31" spans="2:7" ht="18" x14ac:dyDescent="0.35">
      <c r="B31" s="16">
        <v>44738</v>
      </c>
      <c r="C31" s="32" cm="1">
        <f t="array" ref="C31">_xlfn.XLOOKUP(TB_Saídas[[#This Row],[Produto]],TB_Produtos[[#All],[Produto]],TB_Produtos[[#All],[Código]],,0)</f>
        <v>540</v>
      </c>
      <c r="D31" s="17" t="s">
        <v>25</v>
      </c>
      <c r="E31" s="11">
        <v>20</v>
      </c>
      <c r="F31" s="30" cm="1">
        <f t="array" ref="F31">_xlfn.XLOOKUP(TB_Saídas[[#This Row],[Produto]],TB_Produtos[[#All],[Produto]],TB_Produtos[[#All],[Preço Unitário]],"Produto não Encontrado",0,1)</f>
        <v>7.5</v>
      </c>
      <c r="G31" s="31">
        <f>IFERROR(TB_Saídas[[#This Row],[Quantidade Vendida]]*TB_Saídas[[#This Row],[Preço Unitário]],"Não foi possível calcular")</f>
        <v>150</v>
      </c>
    </row>
    <row r="32" spans="2:7" ht="18" x14ac:dyDescent="0.35">
      <c r="B32" s="16">
        <v>44739</v>
      </c>
      <c r="C32" s="32" cm="1">
        <f t="array" ref="C32">_xlfn.XLOOKUP(TB_Saídas[[#This Row],[Produto]],TB_Produtos[[#All],[Produto]],TB_Produtos[[#All],[Código]],,0)</f>
        <v>514</v>
      </c>
      <c r="D32" s="17" t="s">
        <v>10</v>
      </c>
      <c r="E32" s="11">
        <v>15</v>
      </c>
      <c r="F32" s="30" cm="1">
        <f t="array" ref="F32">_xlfn.XLOOKUP(TB_Saídas[[#This Row],[Produto]],TB_Produtos[[#All],[Produto]],TB_Produtos[[#All],[Preço Unitário]],"Produto não Encontrado",0,1)</f>
        <v>6.5</v>
      </c>
      <c r="G32" s="31">
        <f>IFERROR(TB_Saídas[[#This Row],[Quantidade Vendida]]*TB_Saídas[[#This Row],[Preço Unitário]],"Não foi possível calcular")</f>
        <v>97.5</v>
      </c>
    </row>
    <row r="33" spans="2:7" ht="18" x14ac:dyDescent="0.35">
      <c r="B33" s="16">
        <v>44749</v>
      </c>
      <c r="C33" s="32" cm="1">
        <f t="array" ref="C33">_xlfn.XLOOKUP(TB_Saídas[[#This Row],[Produto]],TB_Produtos[[#All],[Produto]],TB_Produtos[[#All],[Código]],,0)</f>
        <v>542</v>
      </c>
      <c r="D33" s="17" t="s">
        <v>26</v>
      </c>
      <c r="E33" s="11">
        <v>40</v>
      </c>
      <c r="F33" s="30" cm="1">
        <f t="array" ref="F33">_xlfn.XLOOKUP(TB_Saídas[[#This Row],[Produto]],TB_Produtos[[#All],[Produto]],TB_Produtos[[#All],[Preço Unitário]],"Produto não Encontrado",0,1)</f>
        <v>10</v>
      </c>
      <c r="G33" s="31">
        <f>IFERROR(TB_Saídas[[#This Row],[Quantidade Vendida]]*TB_Saídas[[#This Row],[Preço Unitário]],"Não foi possível calcular")</f>
        <v>400</v>
      </c>
    </row>
    <row r="34" spans="2:7" ht="18" x14ac:dyDescent="0.35">
      <c r="B34" s="16">
        <v>44749</v>
      </c>
      <c r="C34" s="32" cm="1">
        <f t="array" ref="C34">_xlfn.XLOOKUP(TB_Saídas[[#This Row],[Produto]],TB_Produtos[[#All],[Produto]],TB_Produtos[[#All],[Código]],,0)</f>
        <v>510</v>
      </c>
      <c r="D34" s="17" t="s">
        <v>6</v>
      </c>
      <c r="E34" s="11">
        <v>90</v>
      </c>
      <c r="F34" s="30" cm="1">
        <f t="array" ref="F34">_xlfn.XLOOKUP(TB_Saídas[[#This Row],[Produto]],TB_Produtos[[#All],[Produto]],TB_Produtos[[#All],[Preço Unitário]],"Produto não Encontrado",0,1)</f>
        <v>6</v>
      </c>
      <c r="G34" s="31">
        <f>IFERROR(TB_Saídas[[#This Row],[Quantidade Vendida]]*TB_Saídas[[#This Row],[Preço Unitário]],"Não foi possível calcular")</f>
        <v>540</v>
      </c>
    </row>
    <row r="35" spans="2:7" ht="18" x14ac:dyDescent="0.35">
      <c r="B35" s="16">
        <v>44758</v>
      </c>
      <c r="C35" s="32" cm="1">
        <f t="array" ref="C35">_xlfn.XLOOKUP(TB_Saídas[[#This Row],[Produto]],TB_Produtos[[#All],[Produto]],TB_Produtos[[#All],[Código]],,0)</f>
        <v>514</v>
      </c>
      <c r="D35" s="17" t="s">
        <v>10</v>
      </c>
      <c r="E35" s="11">
        <v>35</v>
      </c>
      <c r="F35" s="30" cm="1">
        <f t="array" ref="F35">_xlfn.XLOOKUP(TB_Saídas[[#This Row],[Produto]],TB_Produtos[[#All],[Produto]],TB_Produtos[[#All],[Preço Unitário]],"Produto não Encontrado",0,1)</f>
        <v>6.5</v>
      </c>
      <c r="G35" s="31">
        <f>IFERROR(TB_Saídas[[#This Row],[Quantidade Vendida]]*TB_Saídas[[#This Row],[Preço Unitário]],"Não foi possível calcular")</f>
        <v>227.5</v>
      </c>
    </row>
    <row r="36" spans="2:7" ht="18" x14ac:dyDescent="0.35">
      <c r="B36" s="16">
        <v>44765</v>
      </c>
      <c r="C36" s="32" cm="1">
        <f t="array" ref="C36">_xlfn.XLOOKUP(TB_Saídas[[#This Row],[Produto]],TB_Produtos[[#All],[Produto]],TB_Produtos[[#All],[Código]],,0)</f>
        <v>530</v>
      </c>
      <c r="D36" s="17" t="s">
        <v>19</v>
      </c>
      <c r="E36" s="11">
        <v>75</v>
      </c>
      <c r="F36" s="30" cm="1">
        <f t="array" ref="F36">_xlfn.XLOOKUP(TB_Saídas[[#This Row],[Produto]],TB_Produtos[[#All],[Produto]],TB_Produtos[[#All],[Preço Unitário]],"Produto não Encontrado",0,1)</f>
        <v>8.5</v>
      </c>
      <c r="G36" s="31">
        <f>IFERROR(TB_Saídas[[#This Row],[Quantidade Vendida]]*TB_Saídas[[#This Row],[Preço Unitário]],"Não foi possível calcular")</f>
        <v>637.5</v>
      </c>
    </row>
    <row r="37" spans="2:7" ht="18" x14ac:dyDescent="0.35">
      <c r="B37" s="16">
        <v>44772</v>
      </c>
      <c r="C37" s="32" cm="1">
        <f t="array" ref="C37">_xlfn.XLOOKUP(TB_Saídas[[#This Row],[Produto]],TB_Produtos[[#All],[Produto]],TB_Produtos[[#All],[Código]],,0)</f>
        <v>540</v>
      </c>
      <c r="D37" s="17" t="s">
        <v>25</v>
      </c>
      <c r="E37" s="11">
        <v>55</v>
      </c>
      <c r="F37" s="30" cm="1">
        <f t="array" ref="F37">_xlfn.XLOOKUP(TB_Saídas[[#This Row],[Produto]],TB_Produtos[[#All],[Produto]],TB_Produtos[[#All],[Preço Unitário]],"Produto não Encontrado",0,1)</f>
        <v>7.5</v>
      </c>
      <c r="G37" s="31">
        <f>IFERROR(TB_Saídas[[#This Row],[Quantidade Vendida]]*TB_Saídas[[#This Row],[Preço Unitário]],"Não foi possível calcular")</f>
        <v>412.5</v>
      </c>
    </row>
    <row r="38" spans="2:7" ht="18" x14ac:dyDescent="0.35">
      <c r="B38" s="16">
        <v>44792</v>
      </c>
      <c r="C38" s="32" cm="1">
        <f t="array" ref="C38">_xlfn.XLOOKUP(TB_Saídas[[#This Row],[Produto]],TB_Produtos[[#All],[Produto]],TB_Produtos[[#All],[Código]],,0)</f>
        <v>514</v>
      </c>
      <c r="D38" s="17" t="s">
        <v>10</v>
      </c>
      <c r="E38" s="11">
        <v>12</v>
      </c>
      <c r="F38" s="30" cm="1">
        <f t="array" ref="F38">_xlfn.XLOOKUP(TB_Saídas[[#This Row],[Produto]],TB_Produtos[[#All],[Produto]],TB_Produtos[[#All],[Preço Unitário]],"Produto não Encontrado",0,1)</f>
        <v>6.5</v>
      </c>
      <c r="G38" s="31">
        <f>IFERROR(TB_Saídas[[#This Row],[Quantidade Vendida]]*TB_Saídas[[#This Row],[Preço Unitário]],"Não foi possível calcular")</f>
        <v>78</v>
      </c>
    </row>
    <row r="39" spans="2:7" ht="18" x14ac:dyDescent="0.35">
      <c r="B39" s="16">
        <v>44794</v>
      </c>
      <c r="C39" s="32" cm="1">
        <f t="array" ref="C39">_xlfn.XLOOKUP(TB_Saídas[[#This Row],[Produto]],TB_Produtos[[#All],[Produto]],TB_Produtos[[#All],[Código]],,0)</f>
        <v>530</v>
      </c>
      <c r="D39" s="17" t="s">
        <v>19</v>
      </c>
      <c r="E39" s="11">
        <v>36</v>
      </c>
      <c r="F39" s="30" cm="1">
        <f t="array" ref="F39">_xlfn.XLOOKUP(TB_Saídas[[#This Row],[Produto]],TB_Produtos[[#All],[Produto]],TB_Produtos[[#All],[Preço Unitário]],"Produto não Encontrado",0,1)</f>
        <v>8.5</v>
      </c>
      <c r="G39" s="31">
        <f>IFERROR(TB_Saídas[[#This Row],[Quantidade Vendida]]*TB_Saídas[[#This Row],[Preço Unitário]],"Não foi possível calcular")</f>
        <v>306</v>
      </c>
    </row>
    <row r="40" spans="2:7" ht="18" x14ac:dyDescent="0.35">
      <c r="B40" s="16">
        <v>44803</v>
      </c>
      <c r="C40" s="32" cm="1">
        <f t="array" ref="C40">_xlfn.XLOOKUP(TB_Saídas[[#This Row],[Produto]],TB_Produtos[[#All],[Produto]],TB_Produtos[[#All],[Código]],,0)</f>
        <v>536</v>
      </c>
      <c r="D40" s="17" t="s">
        <v>23</v>
      </c>
      <c r="E40" s="11">
        <v>90</v>
      </c>
      <c r="F40" s="30" cm="1">
        <f t="array" ref="F40">_xlfn.XLOOKUP(TB_Saídas[[#This Row],[Produto]],TB_Produtos[[#All],[Produto]],TB_Produtos[[#All],[Preço Unitário]],"Produto não Encontrado",0,1)</f>
        <v>5</v>
      </c>
      <c r="G40" s="31">
        <f>IFERROR(TB_Saídas[[#This Row],[Quantidade Vendida]]*TB_Saídas[[#This Row],[Preço Unitário]],"Não foi possível calcular")</f>
        <v>450</v>
      </c>
    </row>
    <row r="41" spans="2:7" ht="18" x14ac:dyDescent="0.35">
      <c r="B41" s="16">
        <v>44803</v>
      </c>
      <c r="C41" s="32" cm="1">
        <f t="array" ref="C41">_xlfn.XLOOKUP(TB_Saídas[[#This Row],[Produto]],TB_Produtos[[#All],[Produto]],TB_Produtos[[#All],[Código]],,0)</f>
        <v>540</v>
      </c>
      <c r="D41" s="17" t="s">
        <v>25</v>
      </c>
      <c r="E41" s="11">
        <v>25</v>
      </c>
      <c r="F41" s="30" cm="1">
        <f t="array" ref="F41">_xlfn.XLOOKUP(TB_Saídas[[#This Row],[Produto]],TB_Produtos[[#All],[Produto]],TB_Produtos[[#All],[Preço Unitário]],"Produto não Encontrado",0,1)</f>
        <v>7.5</v>
      </c>
      <c r="G41" s="31">
        <f>IFERROR(TB_Saídas[[#This Row],[Quantidade Vendida]]*TB_Saídas[[#This Row],[Preço Unitário]],"Não foi possível calcular")</f>
        <v>187.5</v>
      </c>
    </row>
    <row r="42" spans="2:7" ht="18" x14ac:dyDescent="0.35">
      <c r="B42" s="16">
        <v>44803</v>
      </c>
      <c r="C42" s="32" cm="1">
        <f t="array" ref="C42">_xlfn.XLOOKUP(TB_Saídas[[#This Row],[Produto]],TB_Produtos[[#All],[Produto]],TB_Produtos[[#All],[Código]],,0)</f>
        <v>510</v>
      </c>
      <c r="D42" s="17" t="s">
        <v>6</v>
      </c>
      <c r="E42" s="11">
        <v>100</v>
      </c>
      <c r="F42" s="30" cm="1">
        <f t="array" ref="F42">_xlfn.XLOOKUP(TB_Saídas[[#This Row],[Produto]],TB_Produtos[[#All],[Produto]],TB_Produtos[[#All],[Preço Unitário]],"Produto não Encontrado",0,1)</f>
        <v>6</v>
      </c>
      <c r="G42" s="31">
        <f>IFERROR(TB_Saídas[[#This Row],[Quantidade Vendida]]*TB_Saídas[[#This Row],[Preço Unitário]],"Não foi possível calcular")</f>
        <v>600</v>
      </c>
    </row>
    <row r="43" spans="2:7" ht="18" x14ac:dyDescent="0.35">
      <c r="B43" s="16">
        <v>44811</v>
      </c>
      <c r="C43" s="32" cm="1">
        <f t="array" ref="C43">_xlfn.XLOOKUP(TB_Saídas[[#This Row],[Produto]],TB_Produtos[[#All],[Produto]],TB_Produtos[[#All],[Código]],,0)</f>
        <v>560</v>
      </c>
      <c r="D43" s="17" t="s">
        <v>36</v>
      </c>
      <c r="E43" s="11">
        <v>100</v>
      </c>
      <c r="F43" s="30" cm="1">
        <f t="array" ref="F43">_xlfn.XLOOKUP(TB_Saídas[[#This Row],[Produto]],TB_Produtos[[#All],[Produto]],TB_Produtos[[#All],[Preço Unitário]],"Produto não Encontrado",0,1)</f>
        <v>8</v>
      </c>
      <c r="G43" s="31">
        <f>IFERROR(TB_Saídas[[#This Row],[Quantidade Vendida]]*TB_Saídas[[#This Row],[Preço Unitário]],"Não foi possível calcular")</f>
        <v>800</v>
      </c>
    </row>
    <row r="44" spans="2:7" ht="18" x14ac:dyDescent="0.35">
      <c r="B44" s="16">
        <v>44811</v>
      </c>
      <c r="C44" s="32" cm="1">
        <f t="array" ref="C44">_xlfn.XLOOKUP(TB_Saídas[[#This Row],[Produto]],TB_Produtos[[#All],[Produto]],TB_Produtos[[#All],[Código]],,0)</f>
        <v>510</v>
      </c>
      <c r="D44" s="17" t="s">
        <v>6</v>
      </c>
      <c r="E44" s="11">
        <v>35</v>
      </c>
      <c r="F44" s="30" cm="1">
        <f t="array" ref="F44">_xlfn.XLOOKUP(TB_Saídas[[#This Row],[Produto]],TB_Produtos[[#All],[Produto]],TB_Produtos[[#All],[Preço Unitário]],"Produto não Encontrado",0,1)</f>
        <v>6</v>
      </c>
      <c r="G44" s="31">
        <f>IFERROR(TB_Saídas[[#This Row],[Quantidade Vendida]]*TB_Saídas[[#This Row],[Preço Unitário]],"Não foi possível calcular")</f>
        <v>210</v>
      </c>
    </row>
    <row r="45" spans="2:7" ht="18" x14ac:dyDescent="0.35">
      <c r="B45" s="16">
        <v>44821</v>
      </c>
      <c r="C45" s="32" cm="1">
        <f t="array" ref="C45">_xlfn.XLOOKUP(TB_Saídas[[#This Row],[Produto]],TB_Produtos[[#All],[Produto]],TB_Produtos[[#All],[Código]],,0)</f>
        <v>530</v>
      </c>
      <c r="D45" s="17" t="s">
        <v>19</v>
      </c>
      <c r="E45" s="11">
        <v>42</v>
      </c>
      <c r="F45" s="30" cm="1">
        <f t="array" ref="F45">_xlfn.XLOOKUP(TB_Saídas[[#This Row],[Produto]],TB_Produtos[[#All],[Produto]],TB_Produtos[[#All],[Preço Unitário]],"Produto não Encontrado",0,1)</f>
        <v>8.5</v>
      </c>
      <c r="G45" s="31">
        <f>IFERROR(TB_Saídas[[#This Row],[Quantidade Vendida]]*TB_Saídas[[#This Row],[Preço Unitário]],"Não foi possível calcular")</f>
        <v>357</v>
      </c>
    </row>
    <row r="46" spans="2:7" ht="18" x14ac:dyDescent="0.35">
      <c r="B46" s="16">
        <v>44823</v>
      </c>
      <c r="C46" s="32" cm="1">
        <f t="array" ref="C46">_xlfn.XLOOKUP(TB_Saídas[[#This Row],[Produto]],TB_Produtos[[#All],[Produto]],TB_Produtos[[#All],[Código]],,0)</f>
        <v>546</v>
      </c>
      <c r="D46" s="17" t="s">
        <v>28</v>
      </c>
      <c r="E46" s="11">
        <v>30</v>
      </c>
      <c r="F46" s="30" cm="1">
        <f t="array" ref="F46">_xlfn.XLOOKUP(TB_Saídas[[#This Row],[Produto]],TB_Produtos[[#All],[Produto]],TB_Produtos[[#All],[Preço Unitário]],"Produto não Encontrado",0,1)</f>
        <v>15</v>
      </c>
      <c r="G46" s="31">
        <f>IFERROR(TB_Saídas[[#This Row],[Quantidade Vendida]]*TB_Saídas[[#This Row],[Preço Unitário]],"Não foi possível calcular")</f>
        <v>450</v>
      </c>
    </row>
    <row r="47" spans="2:7" ht="18" x14ac:dyDescent="0.35">
      <c r="B47" s="16">
        <v>44829</v>
      </c>
      <c r="C47" s="32" cm="1">
        <f t="array" ref="C47">_xlfn.XLOOKUP(TB_Saídas[[#This Row],[Produto]],TB_Produtos[[#All],[Produto]],TB_Produtos[[#All],[Código]],,0)</f>
        <v>540</v>
      </c>
      <c r="D47" s="17" t="s">
        <v>25</v>
      </c>
      <c r="E47" s="11">
        <v>40</v>
      </c>
      <c r="F47" s="30" cm="1">
        <f t="array" ref="F47">_xlfn.XLOOKUP(TB_Saídas[[#This Row],[Produto]],TB_Produtos[[#All],[Produto]],TB_Produtos[[#All],[Preço Unitário]],"Produto não Encontrado",0,1)</f>
        <v>7.5</v>
      </c>
      <c r="G47" s="31">
        <f>IFERROR(TB_Saídas[[#This Row],[Quantidade Vendida]]*TB_Saídas[[#This Row],[Preço Unitário]],"Não foi possível calcular")</f>
        <v>300</v>
      </c>
    </row>
    <row r="48" spans="2:7" ht="18" x14ac:dyDescent="0.35">
      <c r="B48" s="16">
        <v>44834</v>
      </c>
      <c r="C48" s="32" cm="1">
        <f t="array" ref="C48">_xlfn.XLOOKUP(TB_Saídas[[#This Row],[Produto]],TB_Produtos[[#All],[Produto]],TB_Produtos[[#All],[Código]],,0)</f>
        <v>514</v>
      </c>
      <c r="D48" s="17" t="s">
        <v>10</v>
      </c>
      <c r="E48" s="11">
        <v>18</v>
      </c>
      <c r="F48" s="30" cm="1">
        <f t="array" ref="F48">_xlfn.XLOOKUP(TB_Saídas[[#This Row],[Produto]],TB_Produtos[[#All],[Produto]],TB_Produtos[[#All],[Preço Unitário]],"Produto não Encontrado",0,1)</f>
        <v>6.5</v>
      </c>
      <c r="G48" s="31">
        <f>IFERROR(TB_Saídas[[#This Row],[Quantidade Vendida]]*TB_Saídas[[#This Row],[Preço Unitário]],"Não foi possível calcular")</f>
        <v>117</v>
      </c>
    </row>
    <row r="49" spans="2:7" ht="18" x14ac:dyDescent="0.35">
      <c r="B49" s="16">
        <v>44838</v>
      </c>
      <c r="C49" s="32" cm="1">
        <f t="array" ref="C49">_xlfn.XLOOKUP(TB_Saídas[[#This Row],[Produto]],TB_Produtos[[#All],[Produto]],TB_Produtos[[#All],[Código]],,0)</f>
        <v>530</v>
      </c>
      <c r="D49" s="17" t="s">
        <v>19</v>
      </c>
      <c r="E49" s="11">
        <v>28</v>
      </c>
      <c r="F49" s="30" cm="1">
        <f t="array" ref="F49">_xlfn.XLOOKUP(TB_Saídas[[#This Row],[Produto]],TB_Produtos[[#All],[Produto]],TB_Produtos[[#All],[Preço Unitário]],"Produto não Encontrado",0,1)</f>
        <v>8.5</v>
      </c>
      <c r="G49" s="31">
        <f>IFERROR(TB_Saídas[[#This Row],[Quantidade Vendida]]*TB_Saídas[[#This Row],[Preço Unitário]],"Não foi possível calcular")</f>
        <v>238</v>
      </c>
    </row>
    <row r="50" spans="2:7" ht="18" x14ac:dyDescent="0.35">
      <c r="B50" s="16">
        <v>44847</v>
      </c>
      <c r="C50" s="32" cm="1">
        <f t="array" ref="C50">_xlfn.XLOOKUP(TB_Saídas[[#This Row],[Produto]],TB_Produtos[[#All],[Produto]],TB_Produtos[[#All],[Código]],,0)</f>
        <v>544</v>
      </c>
      <c r="D50" s="17" t="s">
        <v>27</v>
      </c>
      <c r="E50" s="11">
        <v>30</v>
      </c>
      <c r="F50" s="30" cm="1">
        <f t="array" ref="F50">_xlfn.XLOOKUP(TB_Saídas[[#This Row],[Produto]],TB_Produtos[[#All],[Produto]],TB_Produtos[[#All],[Preço Unitário]],"Produto não Encontrado",0,1)</f>
        <v>15</v>
      </c>
      <c r="G50" s="31">
        <f>IFERROR(TB_Saídas[[#This Row],[Quantidade Vendida]]*TB_Saídas[[#This Row],[Preço Unitário]],"Não foi possível calcular")</f>
        <v>450</v>
      </c>
    </row>
    <row r="51" spans="2:7" ht="18" x14ac:dyDescent="0.35">
      <c r="B51" s="16">
        <v>44851</v>
      </c>
      <c r="C51" s="32" cm="1">
        <f t="array" ref="C51">_xlfn.XLOOKUP(TB_Saídas[[#This Row],[Produto]],TB_Produtos[[#All],[Produto]],TB_Produtos[[#All],[Código]],,0)</f>
        <v>540</v>
      </c>
      <c r="D51" s="17" t="s">
        <v>25</v>
      </c>
      <c r="E51" s="11">
        <v>30</v>
      </c>
      <c r="F51" s="30" cm="1">
        <f t="array" ref="F51">_xlfn.XLOOKUP(TB_Saídas[[#This Row],[Produto]],TB_Produtos[[#All],[Produto]],TB_Produtos[[#All],[Preço Unitário]],"Produto não Encontrado",0,1)</f>
        <v>7.5</v>
      </c>
      <c r="G51" s="31">
        <f>IFERROR(TB_Saídas[[#This Row],[Quantidade Vendida]]*TB_Saídas[[#This Row],[Preço Unitário]],"Não foi possível calcular")</f>
        <v>225</v>
      </c>
    </row>
    <row r="52" spans="2:7" ht="18" x14ac:dyDescent="0.35">
      <c r="B52" s="16">
        <v>44862</v>
      </c>
      <c r="C52" s="32" cm="1">
        <f t="array" ref="C52">_xlfn.XLOOKUP(TB_Saídas[[#This Row],[Produto]],TB_Produtos[[#All],[Produto]],TB_Produtos[[#All],[Código]],,0)</f>
        <v>514</v>
      </c>
      <c r="D52" s="17" t="s">
        <v>10</v>
      </c>
      <c r="E52" s="11">
        <v>10</v>
      </c>
      <c r="F52" s="30" cm="1">
        <f t="array" ref="F52">_xlfn.XLOOKUP(TB_Saídas[[#This Row],[Produto]],TB_Produtos[[#All],[Produto]],TB_Produtos[[#All],[Preço Unitário]],"Produto não Encontrado",0,1)</f>
        <v>6.5</v>
      </c>
      <c r="G52" s="31">
        <f>IFERROR(TB_Saídas[[#This Row],[Quantidade Vendida]]*TB_Saídas[[#This Row],[Preço Unitário]],"Não foi possível calcular")</f>
        <v>65</v>
      </c>
    </row>
    <row r="53" spans="2:7" ht="18" x14ac:dyDescent="0.35">
      <c r="B53" s="16">
        <v>44865</v>
      </c>
      <c r="C53" s="32" cm="1">
        <f t="array" ref="C53">_xlfn.XLOOKUP(TB_Saídas[[#This Row],[Produto]],TB_Produtos[[#All],[Produto]],TB_Produtos[[#All],[Código]],,0)</f>
        <v>542</v>
      </c>
      <c r="D53" s="17" t="s">
        <v>26</v>
      </c>
      <c r="E53" s="11">
        <v>35</v>
      </c>
      <c r="F53" s="30" cm="1">
        <f t="array" ref="F53">_xlfn.XLOOKUP(TB_Saídas[[#This Row],[Produto]],TB_Produtos[[#All],[Produto]],TB_Produtos[[#All],[Preço Unitário]],"Produto não Encontrado",0,1)</f>
        <v>10</v>
      </c>
      <c r="G53" s="31">
        <f>IFERROR(TB_Saídas[[#This Row],[Quantidade Vendida]]*TB_Saídas[[#This Row],[Preço Unitário]],"Não foi possível calcular")</f>
        <v>350</v>
      </c>
    </row>
    <row r="54" spans="2:7" ht="18" x14ac:dyDescent="0.35">
      <c r="B54" s="16">
        <v>44865</v>
      </c>
      <c r="C54" s="32" cm="1">
        <f t="array" ref="C54">_xlfn.XLOOKUP(TB_Saídas[[#This Row],[Produto]],TB_Produtos[[#All],[Produto]],TB_Produtos[[#All],[Código]],,0)</f>
        <v>510</v>
      </c>
      <c r="D54" s="17" t="s">
        <v>6</v>
      </c>
      <c r="E54" s="11">
        <v>30</v>
      </c>
      <c r="F54" s="30" cm="1">
        <f t="array" ref="F54">_xlfn.XLOOKUP(TB_Saídas[[#This Row],[Produto]],TB_Produtos[[#All],[Produto]],TB_Produtos[[#All],[Preço Unitário]],"Produto não Encontrado",0,1)</f>
        <v>6</v>
      </c>
      <c r="G54" s="31">
        <f>IFERROR(TB_Saídas[[#This Row],[Quantidade Vendida]]*TB_Saídas[[#This Row],[Preço Unitário]],"Não foi possível calcular")</f>
        <v>180</v>
      </c>
    </row>
    <row r="55" spans="2:7" ht="18" x14ac:dyDescent="0.35">
      <c r="B55" s="16">
        <v>44869</v>
      </c>
      <c r="C55" s="32" cm="1">
        <f t="array" ref="C55">_xlfn.XLOOKUP(TB_Saídas[[#This Row],[Produto]],TB_Produtos[[#All],[Produto]],TB_Produtos[[#All],[Código]],,0)</f>
        <v>514</v>
      </c>
      <c r="D55" s="17" t="s">
        <v>10</v>
      </c>
      <c r="E55" s="11">
        <v>30</v>
      </c>
      <c r="F55" s="30" cm="1">
        <f t="array" ref="F55">_xlfn.XLOOKUP(TB_Saídas[[#This Row],[Produto]],TB_Produtos[[#All],[Produto]],TB_Produtos[[#All],[Preço Unitário]],"Produto não Encontrado",0,1)</f>
        <v>6.5</v>
      </c>
      <c r="G55" s="31">
        <f>IFERROR(TB_Saídas[[#This Row],[Quantidade Vendida]]*TB_Saídas[[#This Row],[Preço Unitário]],"Não foi possível calcular")</f>
        <v>195</v>
      </c>
    </row>
    <row r="56" spans="2:7" ht="18" x14ac:dyDescent="0.35">
      <c r="B56" s="16">
        <v>44870</v>
      </c>
      <c r="C56" s="32" cm="1">
        <f t="array" ref="C56">_xlfn.XLOOKUP(TB_Saídas[[#This Row],[Produto]],TB_Produtos[[#All],[Produto]],TB_Produtos[[#All],[Código]],,0)</f>
        <v>540</v>
      </c>
      <c r="D56" s="17" t="s">
        <v>25</v>
      </c>
      <c r="E56" s="11">
        <v>15</v>
      </c>
      <c r="F56" s="30" cm="1">
        <f t="array" ref="F56">_xlfn.XLOOKUP(TB_Saídas[[#This Row],[Produto]],TB_Produtos[[#All],[Produto]],TB_Produtos[[#All],[Preço Unitário]],"Produto não Encontrado",0,1)</f>
        <v>7.5</v>
      </c>
      <c r="G56" s="31">
        <f>IFERROR(TB_Saídas[[#This Row],[Quantidade Vendida]]*TB_Saídas[[#This Row],[Preço Unitário]],"Não foi possível calcular")</f>
        <v>112.5</v>
      </c>
    </row>
    <row r="57" spans="2:7" ht="18" x14ac:dyDescent="0.35">
      <c r="B57" s="16">
        <v>44872</v>
      </c>
      <c r="C57" s="32" cm="1">
        <f t="array" ref="C57">_xlfn.XLOOKUP(TB_Saídas[[#This Row],[Produto]],TB_Produtos[[#All],[Produto]],TB_Produtos[[#All],[Código]],,0)</f>
        <v>510</v>
      </c>
      <c r="D57" s="17" t="s">
        <v>6</v>
      </c>
      <c r="E57" s="11">
        <v>50</v>
      </c>
      <c r="F57" s="30" cm="1">
        <f t="array" ref="F57">_xlfn.XLOOKUP(TB_Saídas[[#This Row],[Produto]],TB_Produtos[[#All],[Produto]],TB_Produtos[[#All],[Preço Unitário]],"Produto não Encontrado",0,1)</f>
        <v>6</v>
      </c>
      <c r="G57" s="31">
        <f>IFERROR(TB_Saídas[[#This Row],[Quantidade Vendida]]*TB_Saídas[[#This Row],[Preço Unitário]],"Não foi possível calcular")</f>
        <v>300</v>
      </c>
    </row>
    <row r="58" spans="2:7" ht="18" x14ac:dyDescent="0.35">
      <c r="B58" s="16">
        <v>44886</v>
      </c>
      <c r="C58" s="32" cm="1">
        <f t="array" ref="C58">_xlfn.XLOOKUP(TB_Saídas[[#This Row],[Produto]],TB_Produtos[[#All],[Produto]],TB_Produtos[[#All],[Código]],,0)</f>
        <v>530</v>
      </c>
      <c r="D58" s="17" t="s">
        <v>19</v>
      </c>
      <c r="E58" s="11">
        <v>24</v>
      </c>
      <c r="F58" s="30" cm="1">
        <f t="array" ref="F58">_xlfn.XLOOKUP(TB_Saídas[[#This Row],[Produto]],TB_Produtos[[#All],[Produto]],TB_Produtos[[#All],[Preço Unitário]],"Produto não Encontrado",0,1)</f>
        <v>8.5</v>
      </c>
      <c r="G58" s="31">
        <f>IFERROR(TB_Saídas[[#This Row],[Quantidade Vendida]]*TB_Saídas[[#This Row],[Preço Unitário]],"Não foi possível calcular")</f>
        <v>204</v>
      </c>
    </row>
    <row r="59" spans="2:7" ht="18" x14ac:dyDescent="0.35">
      <c r="B59" s="16">
        <v>44897</v>
      </c>
      <c r="C59" s="32" cm="1">
        <f t="array" ref="C59">_xlfn.XLOOKUP(TB_Saídas[[#This Row],[Produto]],TB_Produtos[[#All],[Produto]],TB_Produtos[[#All],[Código]],,0)</f>
        <v>540</v>
      </c>
      <c r="D59" s="17" t="s">
        <v>25</v>
      </c>
      <c r="E59" s="11">
        <v>20</v>
      </c>
      <c r="F59" s="30" cm="1">
        <f t="array" ref="F59">_xlfn.XLOOKUP(TB_Saídas[[#This Row],[Produto]],TB_Produtos[[#All],[Produto]],TB_Produtos[[#All],[Preço Unitário]],"Produto não Encontrado",0,1)</f>
        <v>7.5</v>
      </c>
      <c r="G59" s="31">
        <f>IFERROR(TB_Saídas[[#This Row],[Quantidade Vendida]]*TB_Saídas[[#This Row],[Preço Unitário]],"Não foi possível calcular")</f>
        <v>150</v>
      </c>
    </row>
    <row r="60" spans="2:7" ht="18" x14ac:dyDescent="0.35">
      <c r="B60" s="16">
        <v>44905</v>
      </c>
      <c r="C60" s="32" cm="1">
        <f t="array" ref="C60">_xlfn.XLOOKUP(TB_Saídas[[#This Row],[Produto]],TB_Produtos[[#All],[Produto]],TB_Produtos[[#All],[Código]],,0)</f>
        <v>542</v>
      </c>
      <c r="D60" s="17" t="s">
        <v>26</v>
      </c>
      <c r="E60" s="11">
        <v>25</v>
      </c>
      <c r="F60" s="30" cm="1">
        <f t="array" ref="F60">_xlfn.XLOOKUP(TB_Saídas[[#This Row],[Produto]],TB_Produtos[[#All],[Produto]],TB_Produtos[[#All],[Preço Unitário]],"Produto não Encontrado",0,1)</f>
        <v>10</v>
      </c>
      <c r="G60" s="31">
        <f>IFERROR(TB_Saídas[[#This Row],[Quantidade Vendida]]*TB_Saídas[[#This Row],[Preço Unitário]],"Não foi possível calcular")</f>
        <v>250</v>
      </c>
    </row>
    <row r="61" spans="2:7" ht="18" x14ac:dyDescent="0.35">
      <c r="B61" s="16">
        <v>44915</v>
      </c>
      <c r="C61" s="32" cm="1">
        <f t="array" ref="C61">_xlfn.XLOOKUP(TB_Saídas[[#This Row],[Produto]],TB_Produtos[[#All],[Produto]],TB_Produtos[[#All],[Código]],,0)</f>
        <v>510</v>
      </c>
      <c r="D61" s="17" t="s">
        <v>6</v>
      </c>
      <c r="E61" s="11">
        <v>100</v>
      </c>
      <c r="F61" s="30" cm="1">
        <f t="array" ref="F61">_xlfn.XLOOKUP(TB_Saídas[[#This Row],[Produto]],TB_Produtos[[#All],[Produto]],TB_Produtos[[#All],[Preço Unitário]],"Produto não Encontrado",0,1)</f>
        <v>6</v>
      </c>
      <c r="G61" s="31">
        <f>IFERROR(TB_Saídas[[#This Row],[Quantidade Vendida]]*TB_Saídas[[#This Row],[Preço Unitário]],"Não foi possível calcular")</f>
        <v>600</v>
      </c>
    </row>
    <row r="62" spans="2:7" ht="18" x14ac:dyDescent="0.35">
      <c r="B62" s="16">
        <v>44917</v>
      </c>
      <c r="C62" s="32" cm="1">
        <f t="array" ref="C62">_xlfn.XLOOKUP(TB_Saídas[[#This Row],[Produto]],TB_Produtos[[#All],[Produto]],TB_Produtos[[#All],[Código]],,0)</f>
        <v>530</v>
      </c>
      <c r="D62" s="17" t="s">
        <v>19</v>
      </c>
      <c r="E62" s="11">
        <v>23</v>
      </c>
      <c r="F62" s="30" cm="1">
        <f t="array" ref="F62">_xlfn.XLOOKUP(TB_Saídas[[#This Row],[Produto]],TB_Produtos[[#All],[Produto]],TB_Produtos[[#All],[Preço Unitário]],"Produto não Encontrado",0,1)</f>
        <v>8.5</v>
      </c>
      <c r="G62" s="31">
        <f>IFERROR(TB_Saídas[[#This Row],[Quantidade Vendida]]*TB_Saídas[[#This Row],[Preço Unitário]],"Não foi possível calcular")</f>
        <v>195.5</v>
      </c>
    </row>
    <row r="63" spans="2:7" x14ac:dyDescent="0.25">
      <c r="B63" s="3"/>
    </row>
  </sheetData>
  <phoneticPr fontId="2" type="noConversion"/>
  <dataValidations disablePrompts="1" count="1">
    <dataValidation type="list" allowBlank="1" showInputMessage="1" showErrorMessage="1" sqref="D6:D62" xr:uid="{C915EF8A-EC10-4320-A524-64111B80C901}">
      <formula1>Lista_Produtos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56B0A36441F0D4DAD3991578DF7F2F0" ma:contentTypeVersion="13" ma:contentTypeDescription="Crie um novo documento." ma:contentTypeScope="" ma:versionID="b525bbb6548c187a5866d207a61ee26f">
  <xsd:schema xmlns:xsd="http://www.w3.org/2001/XMLSchema" xmlns:xs="http://www.w3.org/2001/XMLSchema" xmlns:p="http://schemas.microsoft.com/office/2006/metadata/properties" xmlns:ns2="4f05b7ab-9a2f-41ed-818c-74617ab702a7" xmlns:ns3="b7f85c95-9dfd-4a18-b8b1-0a9182cc4fb7" targetNamespace="http://schemas.microsoft.com/office/2006/metadata/properties" ma:root="true" ma:fieldsID="d9daf2d0a880eba26c6dec90f44db6ed" ns2:_="" ns3:_="">
    <xsd:import namespace="4f05b7ab-9a2f-41ed-818c-74617ab702a7"/>
    <xsd:import namespace="b7f85c95-9dfd-4a18-b8b1-0a9182cc4f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5b7ab-9a2f-41ed-818c-74617ab70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efc7ddc0-9a8c-4dc4-996d-f4d816cba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85c95-9dfd-4a18-b8b1-0a9182cc4fb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c0bbb76-aa18-45ff-9b51-618ac78a5513}" ma:internalName="TaxCatchAll" ma:showField="CatchAllData" ma:web="b7f85c95-9dfd-4a18-b8b1-0a9182cc4f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05b7ab-9a2f-41ed-818c-74617ab702a7">
      <Terms xmlns="http://schemas.microsoft.com/office/infopath/2007/PartnerControls"/>
    </lcf76f155ced4ddcb4097134ff3c332f>
    <TaxCatchAll xmlns="b7f85c95-9dfd-4a18-b8b1-0a9182cc4fb7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0A4AAE96-A14B-42D4-838A-B8D7FADCB615}">
  <ds:schemaRefs/>
</ds:datastoreItem>
</file>

<file path=customXml/itemProps2.xml><?xml version="1.0" encoding="utf-8"?>
<ds:datastoreItem xmlns:ds="http://schemas.openxmlformats.org/officeDocument/2006/customXml" ds:itemID="{74EEE840-E580-4A33-8153-7134E3B80879}">
  <ds:schemaRefs/>
</ds:datastoreItem>
</file>

<file path=customXml/itemProps3.xml><?xml version="1.0" encoding="utf-8"?>
<ds:datastoreItem xmlns:ds="http://schemas.openxmlformats.org/officeDocument/2006/customXml" ds:itemID="{57C6100C-2BB5-4286-B41C-694EECD25D81}">
  <ds:schemaRefs/>
</ds:datastoreItem>
</file>

<file path=customXml/itemProps4.xml><?xml version="1.0" encoding="utf-8"?>
<ds:datastoreItem xmlns:ds="http://schemas.openxmlformats.org/officeDocument/2006/customXml" ds:itemID="{EB62C265-F175-4972-BB4B-570CF6F9735A}">
  <ds:schemaRefs/>
</ds:datastoreItem>
</file>

<file path=customXml/itemProps5.xml><?xml version="1.0" encoding="utf-8"?>
<ds:datastoreItem xmlns:ds="http://schemas.openxmlformats.org/officeDocument/2006/customXml" ds:itemID="{993C9EAE-DFD7-48A1-8CC1-4E9B91C2671F}">
  <ds:schemaRefs/>
</ds:datastoreItem>
</file>

<file path=customXml/itemProps6.xml><?xml version="1.0" encoding="utf-8"?>
<ds:datastoreItem xmlns:ds="http://schemas.openxmlformats.org/officeDocument/2006/customXml" ds:itemID="{7D44A0D8-3EAB-4801-9606-F98B7FDB317B}">
  <ds:schemaRefs/>
</ds:datastoreItem>
</file>

<file path=customXml/itemProps7.xml><?xml version="1.0" encoding="utf-8"?>
<ds:datastoreItem xmlns:ds="http://schemas.openxmlformats.org/officeDocument/2006/customXml" ds:itemID="{DD4BC02B-4D28-4C09-8FBA-C66C482C0312}">
  <ds:schemaRefs/>
</ds:datastoreItem>
</file>

<file path=customXml/itemProps8.xml><?xml version="1.0" encoding="utf-8"?>
<ds:datastoreItem xmlns:ds="http://schemas.openxmlformats.org/officeDocument/2006/customXml" ds:itemID="{773DAAEA-4F2C-4CD9-A419-35D439B6321F}">
  <ds:schemaRefs/>
</ds:datastoreItem>
</file>

<file path=customXml/itemProps9.xml><?xml version="1.0" encoding="utf-8"?>
<ds:datastoreItem xmlns:ds="http://schemas.openxmlformats.org/officeDocument/2006/customXml" ds:itemID="{F3747BA7-008C-4DEA-8C36-68EC6680EE4A}">
  <ds:schemaRefs/>
</ds:datastoreItem>
</file>

<file path=customXml/itemProps10.xml><?xml version="1.0" encoding="utf-8"?>
<ds:datastoreItem xmlns:ds="http://schemas.openxmlformats.org/officeDocument/2006/customXml" ds:itemID="{53C6498B-68EA-4C67-9586-3CEC7059E414}">
  <ds:schemaRefs/>
</ds:datastoreItem>
</file>

<file path=customXml/itemProps11.xml><?xml version="1.0" encoding="utf-8"?>
<ds:datastoreItem xmlns:ds="http://schemas.openxmlformats.org/officeDocument/2006/customXml" ds:itemID="{CED1C5E6-B8E5-4AD1-AE26-CB6C7069D6B4}">
  <ds:schemaRefs/>
</ds:datastoreItem>
</file>

<file path=customXml/itemProps12.xml><?xml version="1.0" encoding="utf-8"?>
<ds:datastoreItem xmlns:ds="http://schemas.openxmlformats.org/officeDocument/2006/customXml" ds:itemID="{F1CF2D06-1FF9-49FF-8812-2D4AC65E587D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2EEE9F2F-8385-4E62-9B94-4D21CAC728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5b7ab-9a2f-41ed-818c-74617ab702a7"/>
    <ds:schemaRef ds:uri="b7f85c95-9dfd-4a18-b8b1-0a9182cc4f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4.xml><?xml version="1.0" encoding="utf-8"?>
<ds:datastoreItem xmlns:ds="http://schemas.openxmlformats.org/officeDocument/2006/customXml" ds:itemID="{F4B30471-570F-4558-B82E-87AE6DB68B7B}">
  <ds:schemaRefs/>
</ds:datastoreItem>
</file>

<file path=customXml/itemProps15.xml><?xml version="1.0" encoding="utf-8"?>
<ds:datastoreItem xmlns:ds="http://schemas.openxmlformats.org/officeDocument/2006/customXml" ds:itemID="{B8D9DDA8-8D83-494B-91DD-98616E9713D8}">
  <ds:schemaRefs>
    <ds:schemaRef ds:uri="http://schemas.microsoft.com/office/2006/metadata/properties"/>
    <ds:schemaRef ds:uri="http://schemas.microsoft.com/office/infopath/2007/PartnerControls"/>
    <ds:schemaRef ds:uri="4f05b7ab-9a2f-41ed-818c-74617ab702a7"/>
    <ds:schemaRef ds:uri="b7f85c95-9dfd-4a18-b8b1-0a9182cc4fb7"/>
  </ds:schemaRefs>
</ds:datastoreItem>
</file>

<file path=customXml/itemProps16.xml><?xml version="1.0" encoding="utf-8"?>
<ds:datastoreItem xmlns:ds="http://schemas.openxmlformats.org/officeDocument/2006/customXml" ds:itemID="{E24387F3-531C-4247-B741-3821FA0AAC8E}">
  <ds:schemaRefs/>
</ds:datastoreItem>
</file>

<file path=customXml/itemProps17.xml><?xml version="1.0" encoding="utf-8"?>
<ds:datastoreItem xmlns:ds="http://schemas.openxmlformats.org/officeDocument/2006/customXml" ds:itemID="{38C9AD32-9F86-48A4-8C57-97D6B17A1054}">
  <ds:schemaRefs/>
</ds:datastoreItem>
</file>

<file path=customXml/itemProps18.xml><?xml version="1.0" encoding="utf-8"?>
<ds:datastoreItem xmlns:ds="http://schemas.openxmlformats.org/officeDocument/2006/customXml" ds:itemID="{2EE9F7FB-8E20-4ECF-8108-03570ED1E48C}">
  <ds:schemaRefs/>
</ds:datastoreItem>
</file>

<file path=customXml/itemProps19.xml><?xml version="1.0" encoding="utf-8"?>
<ds:datastoreItem xmlns:ds="http://schemas.openxmlformats.org/officeDocument/2006/customXml" ds:itemID="{176A8B0E-FAF0-4456-B404-4BB86068530C}">
  <ds:schemaRefs/>
</ds:datastoreItem>
</file>

<file path=customXml/itemProps20.xml><?xml version="1.0" encoding="utf-8"?>
<ds:datastoreItem xmlns:ds="http://schemas.openxmlformats.org/officeDocument/2006/customXml" ds:itemID="{499AF66D-78F0-452C-A363-2C202B3B0BB3}">
  <ds:schemaRefs/>
</ds:datastoreItem>
</file>

<file path=customXml/itemProps21.xml><?xml version="1.0" encoding="utf-8"?>
<ds:datastoreItem xmlns:ds="http://schemas.openxmlformats.org/officeDocument/2006/customXml" ds:itemID="{428C2E8B-D9C8-483F-80F7-3CFB104D0D25}">
  <ds:schemaRefs/>
</ds:datastoreItem>
</file>

<file path=customXml/itemProps22.xml><?xml version="1.0" encoding="utf-8"?>
<ds:datastoreItem xmlns:ds="http://schemas.openxmlformats.org/officeDocument/2006/customXml" ds:itemID="{D6A0FE9E-95F0-4000-BA14-339F5A4908F8}">
  <ds:schemaRefs/>
</ds:datastoreItem>
</file>

<file path=customXml/itemProps23.xml><?xml version="1.0" encoding="utf-8"?>
<ds:datastoreItem xmlns:ds="http://schemas.openxmlformats.org/officeDocument/2006/customXml" ds:itemID="{45FDE55F-E8DC-4AF0-9CA3-CB928ECB68A7}">
  <ds:schemaRefs/>
</ds:datastoreItem>
</file>

<file path=customXml/itemProps24.xml><?xml version="1.0" encoding="utf-8"?>
<ds:datastoreItem xmlns:ds="http://schemas.openxmlformats.org/officeDocument/2006/customXml" ds:itemID="{008C6A32-FF19-4232-8534-7174E6282B34}">
  <ds:schemaRefs/>
</ds:datastoreItem>
</file>

<file path=customXml/itemProps25.xml><?xml version="1.0" encoding="utf-8"?>
<ds:datastoreItem xmlns:ds="http://schemas.openxmlformats.org/officeDocument/2006/customXml" ds:itemID="{E615A938-A1FF-4985-AE4E-09948F79595A}">
  <ds:schemaRefs/>
</ds:datastoreItem>
</file>

<file path=customXml/itemProps26.xml><?xml version="1.0" encoding="utf-8"?>
<ds:datastoreItem xmlns:ds="http://schemas.openxmlformats.org/officeDocument/2006/customXml" ds:itemID="{E2F77C45-C80C-4762-ABE1-80AEF145B7D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Dinâmica Relacionada</vt:lpstr>
      <vt:lpstr>Planilha2</vt:lpstr>
      <vt:lpstr>Custo Por Mês</vt:lpstr>
      <vt:lpstr>Quantidades Por Mês</vt:lpstr>
      <vt:lpstr>Produtos</vt:lpstr>
      <vt:lpstr>Fornecedor</vt:lpstr>
      <vt:lpstr>Entradas</vt:lpstr>
      <vt:lpstr>Planilha1</vt:lpstr>
      <vt:lpstr>Saídas</vt:lpstr>
      <vt:lpstr>Lista_Produtos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Okamoto</dc:creator>
  <cp:keywords/>
  <dc:description/>
  <cp:lastModifiedBy>Thierry Lucas Chaves</cp:lastModifiedBy>
  <cp:revision/>
  <dcterms:created xsi:type="dcterms:W3CDTF">2022-11-17T13:49:56Z</dcterms:created>
  <dcterms:modified xsi:type="dcterms:W3CDTF">2026-06-14T22:12:17Z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2022-11-17T14:16:04Z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e9925f55-e63e-42cf-82e9-e2e3b4f28421</vt:lpwstr>
  </property>
  <property fmtid="{D5CDD505-2E9C-101B-9397-08002B2CF9AE}" pid="7" name="MSIP_Label_defa4170-0d19-0005-0004-bc88714345d2_ActionId">
    <vt:lpwstr>d1712c9e-5847-482d-92dd-40d44dad60d7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0x010100556B0A36441F0D4DAD3991578DF7F2F0</vt:lpwstr>
  </property>
  <property fmtid="{D5CDD505-2E9C-101B-9397-08002B2CF9AE}" pid="10" name="MediaServiceImageTags">
    <vt:lpwstr/>
  </property>
</Properties>
</file>