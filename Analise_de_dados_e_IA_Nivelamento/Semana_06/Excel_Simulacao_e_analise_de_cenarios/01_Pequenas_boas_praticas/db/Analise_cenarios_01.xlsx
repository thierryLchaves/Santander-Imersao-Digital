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lchaves\Documents\Santander\Santander-Imersao-Digital\Analise_de_dados_e_IA_Nivelamento\Semana_06\Excel_Simulacao_e_analise_de_cenarios\01_Pequenas_boas_praticas\db\"/>
    </mc:Choice>
  </mc:AlternateContent>
  <xr:revisionPtr revIDLastSave="0" documentId="13_ncr:1_{6D9E3E34-7DA2-4E99-8BA8-C9EEBBF0952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Vendas" sheetId="2" r:id="rId1"/>
    <sheet name="Plan1" sheetId="1" r:id="rId2"/>
  </sheets>
  <definedNames>
    <definedName name="DadosExternos_1" localSheetId="0" hidden="1">Vendas!$A$1:$C$47</definedName>
    <definedName name="DataDeLancamentoDaNovaVeresao">Vendas!$F$6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2" l="1"/>
  <c r="F7" i="2"/>
  <c r="F4" i="2"/>
  <c r="F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C7ECE6-2FE2-410B-A573-9A8DED204892}" keepAlive="1" name="Consulta - dados" description="Conexão com a consulta 'dados' na pasta de trabalho." type="5" refreshedVersion="8" background="1" refreshOnLoad="1" saveData="1">
    <dbPr connection="Provider=Microsoft.Mashup.OleDb.1;Data Source=$Workbook$;Location=dados;Extended Properties=&quot;&quot;" command="SELECT * FROM [dados]"/>
  </connection>
</connections>
</file>

<file path=xl/sharedStrings.xml><?xml version="1.0" encoding="utf-8"?>
<sst xmlns="http://schemas.openxmlformats.org/spreadsheetml/2006/main" count="54" uniqueCount="8">
  <si>
    <t>Preço</t>
  </si>
  <si>
    <t>Categoria</t>
  </si>
  <si>
    <t>Data</t>
  </si>
  <si>
    <t>PF</t>
  </si>
  <si>
    <t>PJ</t>
  </si>
  <si>
    <t>Média da venda</t>
  </si>
  <si>
    <t>Após a data</t>
  </si>
  <si>
    <t>Antes da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</si>
</sst>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6">
    <xf numFmtId="0" fontId="0" fillId="0" borderId="0" xfId="0"/>
    <xf numFmtId="14" fontId="0" fillId="0" borderId="0" xfId="0" applyNumberFormat="1"/>
    <xf numFmtId="44" fontId="0" fillId="0" borderId="0" xfId="1" applyFont="1"/>
    <xf numFmtId="0" fontId="2" fillId="0" borderId="1" xfId="2"/>
    <xf numFmtId="44" fontId="2" fillId="0" borderId="1" xfId="2" applyNumberFormat="1"/>
    <xf numFmtId="14" fontId="2" fillId="0" borderId="1" xfId="2" applyNumberFormat="1"/>
  </cellXfs>
  <cellStyles count="3">
    <cellStyle name="Moeda" xfId="1" builtinId="4"/>
    <cellStyle name="Normal" xfId="0" builtinId="0"/>
    <cellStyle name="Total" xfId="2" builtinId="25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DFB96CAB-28AD-42AB-B57C-E196A637136F}" autoFormatId="16" applyNumberFormats="0" applyBorderFormats="0" applyFontFormats="0" applyPatternFormats="0" applyAlignmentFormats="0" applyWidthHeightFormats="0">
  <queryTableRefresh nextId="4">
    <queryTableFields count="3">
      <queryTableField id="1" name="Preço" tableColumnId="1"/>
      <queryTableField id="2" name="Categoria" tableColumnId="2"/>
      <queryTableField id="3" name="Data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A3C78-40EE-432C-BDB5-5B75B9BC54EC}" name="dados" displayName="dados" ref="A1:C47" tableType="queryTable" totalsRowShown="0">
  <autoFilter ref="A1:C47" xr:uid="{D57A3C78-40EE-432C-BDB5-5B75B9BC54EC}"/>
  <tableColumns count="3">
    <tableColumn id="1" xr3:uid="{1181A107-EE7B-4149-846A-8321CFB0B1B1}" uniqueName="1" name="Preço" queryTableFieldId="1"/>
    <tableColumn id="2" xr3:uid="{C6D0E20D-0CF6-4703-ABD7-1F348DF727B2}" uniqueName="2" name="Categoria" queryTableFieldId="2" dataDxfId="1"/>
    <tableColumn id="3" xr3:uid="{1C724445-C017-45D0-97D0-D6DC508529FF}" uniqueName="3" name="Data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C540-9EC3-42A8-A304-75B8D4F532BF}">
  <dimension ref="A1:F47"/>
  <sheetViews>
    <sheetView tabSelected="1" topLeftCell="A16" workbookViewId="0">
      <selection activeCell="F8" sqref="F8"/>
    </sheetView>
  </sheetViews>
  <sheetFormatPr defaultRowHeight="15" x14ac:dyDescent="0.25"/>
  <cols>
    <col min="1" max="1" width="8.28515625" bestFit="1" customWidth="1"/>
    <col min="2" max="2" width="11.7109375" bestFit="1" customWidth="1"/>
    <col min="3" max="3" width="10.7109375" bestFit="1" customWidth="1"/>
    <col min="5" max="5" width="13.140625" bestFit="1" customWidth="1"/>
    <col min="6" max="6" width="15.140625" style="2" bestFit="1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ht="15.75" thickBot="1" x14ac:dyDescent="0.3">
      <c r="A2">
        <v>1902</v>
      </c>
      <c r="B2" t="s">
        <v>3</v>
      </c>
      <c r="C2" s="1">
        <v>43269</v>
      </c>
      <c r="E2" s="3"/>
      <c r="F2" s="4" t="s">
        <v>5</v>
      </c>
    </row>
    <row r="3" spans="1:6" ht="16.5" thickTop="1" thickBot="1" x14ac:dyDescent="0.3">
      <c r="A3">
        <v>39406</v>
      </c>
      <c r="B3" t="s">
        <v>3</v>
      </c>
      <c r="C3" s="1">
        <v>43270</v>
      </c>
      <c r="E3" s="3" t="s">
        <v>3</v>
      </c>
      <c r="F3" s="4">
        <f>AVERAGEIFS(dados[Preço],dados[Categoria],E3)</f>
        <v>22479.3</v>
      </c>
    </row>
    <row r="4" spans="1:6" ht="16.5" thickTop="1" thickBot="1" x14ac:dyDescent="0.3">
      <c r="A4">
        <v>17496</v>
      </c>
      <c r="B4" t="s">
        <v>3</v>
      </c>
      <c r="C4" s="1">
        <v>43283</v>
      </c>
      <c r="E4" s="3" t="s">
        <v>4</v>
      </c>
      <c r="F4" s="4">
        <f>AVERAGEIFS(dados[Preço],dados[Categoria],E4)</f>
        <v>47539.138888888891</v>
      </c>
    </row>
    <row r="5" spans="1:6" ht="15.75" thickTop="1" x14ac:dyDescent="0.25">
      <c r="A5">
        <v>20205</v>
      </c>
      <c r="B5" t="s">
        <v>3</v>
      </c>
      <c r="C5" s="1">
        <v>43283</v>
      </c>
    </row>
    <row r="6" spans="1:6" ht="15.75" thickBot="1" x14ac:dyDescent="0.3">
      <c r="A6">
        <v>3867</v>
      </c>
      <c r="B6" t="s">
        <v>3</v>
      </c>
      <c r="C6" s="1">
        <v>43283</v>
      </c>
      <c r="E6" s="3"/>
      <c r="F6" s="5">
        <v>43282</v>
      </c>
    </row>
    <row r="7" spans="1:6" ht="16.5" thickTop="1" thickBot="1" x14ac:dyDescent="0.3">
      <c r="A7">
        <v>44938</v>
      </c>
      <c r="B7" t="s">
        <v>3</v>
      </c>
      <c r="C7" s="1">
        <v>43266</v>
      </c>
      <c r="E7" s="3" t="s">
        <v>6</v>
      </c>
      <c r="F7" s="4">
        <f>AVERAGEIFS(dados[Preço],dados[Data],"&gt;=" &amp; DataDeLancamentoDaNovaVeresao)</f>
        <v>36944.25</v>
      </c>
    </row>
    <row r="8" spans="1:6" ht="16.5" thickTop="1" thickBot="1" x14ac:dyDescent="0.3">
      <c r="A8">
        <v>40209</v>
      </c>
      <c r="B8" t="s">
        <v>3</v>
      </c>
      <c r="C8" s="1">
        <v>43283</v>
      </c>
      <c r="E8" s="3" t="s">
        <v>7</v>
      </c>
      <c r="F8" s="4">
        <f>AVERAGEIFS(dados[Preço],dados[Data],"&lt;"&amp;DataDeLancamentoDaNovaVeresao)</f>
        <v>43174.947368421053</v>
      </c>
    </row>
    <row r="9" spans="1:6" ht="15.75" thickTop="1" x14ac:dyDescent="0.25">
      <c r="A9">
        <v>36520</v>
      </c>
      <c r="B9" t="s">
        <v>3</v>
      </c>
      <c r="C9" s="1">
        <v>43266</v>
      </c>
    </row>
    <row r="10" spans="1:6" x14ac:dyDescent="0.25">
      <c r="A10">
        <v>13562</v>
      </c>
      <c r="B10" t="s">
        <v>3</v>
      </c>
      <c r="C10" s="1">
        <v>43282</v>
      </c>
    </row>
    <row r="11" spans="1:6" x14ac:dyDescent="0.25">
      <c r="A11">
        <v>44502</v>
      </c>
      <c r="B11" t="s">
        <v>4</v>
      </c>
      <c r="C11" s="1">
        <v>43281</v>
      </c>
    </row>
    <row r="12" spans="1:6" x14ac:dyDescent="0.25">
      <c r="A12">
        <v>54816</v>
      </c>
      <c r="B12" t="s">
        <v>4</v>
      </c>
      <c r="C12" s="1">
        <v>43280</v>
      </c>
    </row>
    <row r="13" spans="1:6" x14ac:dyDescent="0.25">
      <c r="A13">
        <v>96052</v>
      </c>
      <c r="B13" t="s">
        <v>4</v>
      </c>
      <c r="C13" s="1">
        <v>43279</v>
      </c>
    </row>
    <row r="14" spans="1:6" x14ac:dyDescent="0.25">
      <c r="A14">
        <v>73931</v>
      </c>
      <c r="B14" t="s">
        <v>4</v>
      </c>
      <c r="C14" s="1">
        <v>43283</v>
      </c>
    </row>
    <row r="15" spans="1:6" x14ac:dyDescent="0.25">
      <c r="A15">
        <v>21150</v>
      </c>
      <c r="B15" t="s">
        <v>4</v>
      </c>
      <c r="C15" s="1">
        <v>43277</v>
      </c>
    </row>
    <row r="16" spans="1:6" x14ac:dyDescent="0.25">
      <c r="A16">
        <v>18201</v>
      </c>
      <c r="B16" t="s">
        <v>4</v>
      </c>
      <c r="C16" s="1">
        <v>43276</v>
      </c>
    </row>
    <row r="17" spans="1:3" x14ac:dyDescent="0.25">
      <c r="A17">
        <v>23682</v>
      </c>
      <c r="B17" t="s">
        <v>4</v>
      </c>
      <c r="C17" s="1">
        <v>43275</v>
      </c>
    </row>
    <row r="18" spans="1:3" x14ac:dyDescent="0.25">
      <c r="A18">
        <v>36593</v>
      </c>
      <c r="B18" t="s">
        <v>4</v>
      </c>
      <c r="C18" s="1">
        <v>43274</v>
      </c>
    </row>
    <row r="19" spans="1:3" x14ac:dyDescent="0.25">
      <c r="A19">
        <v>61983</v>
      </c>
      <c r="B19" t="s">
        <v>4</v>
      </c>
      <c r="C19" s="1">
        <v>43283</v>
      </c>
    </row>
    <row r="20" spans="1:3" x14ac:dyDescent="0.25">
      <c r="A20">
        <v>45182</v>
      </c>
      <c r="B20" t="s">
        <v>4</v>
      </c>
      <c r="C20" s="1">
        <v>43272</v>
      </c>
    </row>
    <row r="21" spans="1:3" x14ac:dyDescent="0.25">
      <c r="A21">
        <v>53675</v>
      </c>
      <c r="B21" t="s">
        <v>4</v>
      </c>
      <c r="C21" s="1">
        <v>43271</v>
      </c>
    </row>
    <row r="22" spans="1:3" x14ac:dyDescent="0.25">
      <c r="A22">
        <v>77434</v>
      </c>
      <c r="B22" t="s">
        <v>4</v>
      </c>
      <c r="C22" s="1">
        <v>43270</v>
      </c>
    </row>
    <row r="23" spans="1:3" x14ac:dyDescent="0.25">
      <c r="A23">
        <v>43020</v>
      </c>
      <c r="B23" t="s">
        <v>4</v>
      </c>
      <c r="C23" s="1">
        <v>43269</v>
      </c>
    </row>
    <row r="24" spans="1:3" x14ac:dyDescent="0.25">
      <c r="A24">
        <v>21915</v>
      </c>
      <c r="B24" t="s">
        <v>4</v>
      </c>
      <c r="C24" s="1">
        <v>43268</v>
      </c>
    </row>
    <row r="25" spans="1:3" x14ac:dyDescent="0.25">
      <c r="A25">
        <v>98945</v>
      </c>
      <c r="B25" t="s">
        <v>4</v>
      </c>
      <c r="C25" s="1">
        <v>43267</v>
      </c>
    </row>
    <row r="26" spans="1:3" x14ac:dyDescent="0.25">
      <c r="A26">
        <v>3125</v>
      </c>
      <c r="B26" t="s">
        <v>4</v>
      </c>
      <c r="C26" s="1">
        <v>43266</v>
      </c>
    </row>
    <row r="27" spans="1:3" x14ac:dyDescent="0.25">
      <c r="A27">
        <v>4032</v>
      </c>
      <c r="B27" t="s">
        <v>4</v>
      </c>
      <c r="C27" s="1">
        <v>43265</v>
      </c>
    </row>
    <row r="28" spans="1:3" x14ac:dyDescent="0.25">
      <c r="A28">
        <v>89874</v>
      </c>
      <c r="B28" t="s">
        <v>4</v>
      </c>
      <c r="C28" s="1">
        <v>43264</v>
      </c>
    </row>
    <row r="29" spans="1:3" x14ac:dyDescent="0.25">
      <c r="A29">
        <v>64301</v>
      </c>
      <c r="B29" t="s">
        <v>4</v>
      </c>
      <c r="C29" s="1">
        <v>43283</v>
      </c>
    </row>
    <row r="30" spans="1:3" x14ac:dyDescent="0.25">
      <c r="A30">
        <v>45650</v>
      </c>
      <c r="B30" t="s">
        <v>4</v>
      </c>
      <c r="C30" s="1">
        <v>43262</v>
      </c>
    </row>
    <row r="31" spans="1:3" x14ac:dyDescent="0.25">
      <c r="A31">
        <v>11701</v>
      </c>
      <c r="B31" t="s">
        <v>4</v>
      </c>
      <c r="C31" s="1">
        <v>43261</v>
      </c>
    </row>
    <row r="32" spans="1:3" x14ac:dyDescent="0.25">
      <c r="A32">
        <v>9245</v>
      </c>
      <c r="B32" t="s">
        <v>4</v>
      </c>
      <c r="C32" s="1">
        <v>43260</v>
      </c>
    </row>
    <row r="33" spans="1:3" x14ac:dyDescent="0.25">
      <c r="A33">
        <v>31409</v>
      </c>
      <c r="B33" t="s">
        <v>4</v>
      </c>
      <c r="C33" s="1">
        <v>43259</v>
      </c>
    </row>
    <row r="34" spans="1:3" x14ac:dyDescent="0.25">
      <c r="A34">
        <v>6688</v>
      </c>
      <c r="B34" t="s">
        <v>3</v>
      </c>
      <c r="C34" s="1">
        <v>43258</v>
      </c>
    </row>
    <row r="35" spans="1:3" x14ac:dyDescent="0.25">
      <c r="A35">
        <v>74459</v>
      </c>
      <c r="B35" t="s">
        <v>4</v>
      </c>
      <c r="C35" s="1">
        <v>43257</v>
      </c>
    </row>
    <row r="36" spans="1:3" x14ac:dyDescent="0.25">
      <c r="A36">
        <v>33015</v>
      </c>
      <c r="B36" t="s">
        <v>4</v>
      </c>
      <c r="C36" s="1">
        <v>43256</v>
      </c>
    </row>
    <row r="37" spans="1:3" x14ac:dyDescent="0.25">
      <c r="A37">
        <v>11686</v>
      </c>
      <c r="B37" t="s">
        <v>4</v>
      </c>
      <c r="C37" s="1">
        <v>43255</v>
      </c>
    </row>
    <row r="38" spans="1:3" x14ac:dyDescent="0.25">
      <c r="A38">
        <v>35297</v>
      </c>
      <c r="B38" t="s">
        <v>4</v>
      </c>
      <c r="C38" s="1">
        <v>43254</v>
      </c>
    </row>
    <row r="39" spans="1:3" x14ac:dyDescent="0.25">
      <c r="A39">
        <v>87182</v>
      </c>
      <c r="B39" t="s">
        <v>4</v>
      </c>
      <c r="C39" s="1">
        <v>43253</v>
      </c>
    </row>
    <row r="40" spans="1:3" x14ac:dyDescent="0.25">
      <c r="A40">
        <v>70342</v>
      </c>
      <c r="B40" t="s">
        <v>4</v>
      </c>
      <c r="C40" s="1">
        <v>43252</v>
      </c>
    </row>
    <row r="41" spans="1:3" x14ac:dyDescent="0.25">
      <c r="A41">
        <v>69779</v>
      </c>
      <c r="B41" t="s">
        <v>4</v>
      </c>
      <c r="C41" s="1">
        <v>43260</v>
      </c>
    </row>
    <row r="42" spans="1:3" x14ac:dyDescent="0.25">
      <c r="A42">
        <v>54150</v>
      </c>
      <c r="B42" t="s">
        <v>4</v>
      </c>
      <c r="C42" s="1">
        <v>43268</v>
      </c>
    </row>
    <row r="43" spans="1:3" x14ac:dyDescent="0.25">
      <c r="A43">
        <v>52012</v>
      </c>
      <c r="B43" t="s">
        <v>4</v>
      </c>
      <c r="C43" s="1">
        <v>43255</v>
      </c>
    </row>
    <row r="44" spans="1:3" x14ac:dyDescent="0.25">
      <c r="A44">
        <v>95051</v>
      </c>
      <c r="B44" t="s">
        <v>4</v>
      </c>
      <c r="C44" s="1">
        <v>43268</v>
      </c>
    </row>
    <row r="45" spans="1:3" x14ac:dyDescent="0.25">
      <c r="A45">
        <v>26287</v>
      </c>
      <c r="B45" t="s">
        <v>4</v>
      </c>
      <c r="C45" s="1">
        <v>43268</v>
      </c>
    </row>
    <row r="46" spans="1:3" x14ac:dyDescent="0.25">
      <c r="A46">
        <v>40323</v>
      </c>
      <c r="B46" t="s">
        <v>4</v>
      </c>
      <c r="C46" s="1">
        <v>43255</v>
      </c>
    </row>
    <row r="47" spans="1:3" x14ac:dyDescent="0.25">
      <c r="A47">
        <v>31408</v>
      </c>
      <c r="B47" t="s">
        <v>4</v>
      </c>
      <c r="C47" s="1">
        <v>43260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AA498D-7A6B-4D30-8A86-09AF29215B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Vendas</vt:lpstr>
      <vt:lpstr>Plan1</vt:lpstr>
      <vt:lpstr>DataDeLancamentoDaNovaVeresao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Lucas Chaves</dc:creator>
  <cp:lastModifiedBy>Thierry Lucas Chaves</cp:lastModifiedBy>
  <dcterms:created xsi:type="dcterms:W3CDTF">2015-06-05T18:19:34Z</dcterms:created>
  <dcterms:modified xsi:type="dcterms:W3CDTF">2026-06-09T19:45:48Z</dcterms:modified>
</cp:coreProperties>
</file>